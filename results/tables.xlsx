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aleedu-my.sharepoint.com/personal/santiago_castiellodeobeso_yale_edu/Documents/Yale/cntrcs/swsSchizoBull/results/"/>
    </mc:Choice>
  </mc:AlternateContent>
  <xr:revisionPtr revIDLastSave="126" documentId="13_ncr:1_{A342814C-2119-438E-996D-97B029B1E546}" xr6:coauthVersionLast="47" xr6:coauthVersionMax="47" xr10:uidLastSave="{4FCAA73F-6174-46F7-A2F3-257627011EA0}"/>
  <bookViews>
    <workbookView xWindow="-93" yWindow="-93" windowWidth="25786" windowHeight="13866" activeTab="4" xr2:uid="{20D22785-9A0C-483F-A383-74719F8740FD}"/>
  </bookViews>
  <sheets>
    <sheet name="table1" sheetId="1" r:id="rId1"/>
    <sheet name="table1_v2" sheetId="3" r:id="rId2"/>
    <sheet name="table2" sheetId="5" r:id="rId3"/>
    <sheet name="Sheet1" sheetId="2" r:id="rId4"/>
    <sheet name="tableS1" sheetId="6" r:id="rId5"/>
    <sheet name="Sheet2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6" i="2" l="1"/>
  <c r="K75" i="2"/>
  <c r="K74" i="2"/>
  <c r="K73" i="2"/>
  <c r="K72" i="2"/>
  <c r="K71" i="2"/>
  <c r="K43" i="5"/>
  <c r="J43" i="5"/>
  <c r="I43" i="5"/>
  <c r="H43" i="5"/>
  <c r="K42" i="5"/>
  <c r="J42" i="5"/>
  <c r="I42" i="5"/>
  <c r="H42" i="5"/>
  <c r="K41" i="5"/>
  <c r="J41" i="5"/>
  <c r="I41" i="5"/>
  <c r="H41" i="5"/>
  <c r="K40" i="5"/>
  <c r="J40" i="5"/>
  <c r="I40" i="5"/>
  <c r="H40" i="5"/>
  <c r="K36" i="5"/>
  <c r="J36" i="5"/>
  <c r="I36" i="5"/>
  <c r="H36" i="5"/>
  <c r="K35" i="5"/>
  <c r="J35" i="5"/>
  <c r="I35" i="5"/>
  <c r="H35" i="5"/>
  <c r="K34" i="5"/>
  <c r="J34" i="5"/>
  <c r="I34" i="5"/>
  <c r="H34" i="5"/>
  <c r="K33" i="5"/>
  <c r="J33" i="5"/>
  <c r="I33" i="5"/>
  <c r="H33" i="5"/>
  <c r="J17" i="5"/>
  <c r="E7" i="5"/>
  <c r="E4" i="5"/>
  <c r="F11" i="5"/>
  <c r="E11" i="5"/>
  <c r="D11" i="5"/>
  <c r="C11" i="5"/>
  <c r="F10" i="5"/>
  <c r="E10" i="5"/>
  <c r="D10" i="5"/>
  <c r="C10" i="5"/>
  <c r="F9" i="5"/>
  <c r="E9" i="5"/>
  <c r="D9" i="5"/>
  <c r="C9" i="5"/>
  <c r="F8" i="5"/>
  <c r="E8" i="5"/>
  <c r="D8" i="5"/>
  <c r="C8" i="5"/>
  <c r="F7" i="5"/>
  <c r="D7" i="5"/>
  <c r="C7" i="5"/>
  <c r="F6" i="5"/>
  <c r="E6" i="5"/>
  <c r="D6" i="5"/>
  <c r="C6" i="5"/>
  <c r="F5" i="5"/>
  <c r="E5" i="5"/>
  <c r="D5" i="5"/>
  <c r="C5" i="5"/>
  <c r="F4" i="5"/>
  <c r="D4" i="5"/>
  <c r="C4" i="5"/>
</calcChain>
</file>

<file path=xl/sharedStrings.xml><?xml version="1.0" encoding="utf-8"?>
<sst xmlns="http://schemas.openxmlformats.org/spreadsheetml/2006/main" count="567" uniqueCount="135">
  <si>
    <t>N</t>
  </si>
  <si>
    <t>Healthy Controls</t>
  </si>
  <si>
    <t>Patients with Schizophrenia</t>
  </si>
  <si>
    <t>Total</t>
  </si>
  <si>
    <t>All sample</t>
  </si>
  <si>
    <t>Male</t>
  </si>
  <si>
    <t>Female</t>
  </si>
  <si>
    <t>Other</t>
  </si>
  <si>
    <t>White</t>
  </si>
  <si>
    <t>Black</t>
  </si>
  <si>
    <t>Mixed/Other</t>
  </si>
  <si>
    <t>Gender</t>
  </si>
  <si>
    <t>Age</t>
  </si>
  <si>
    <t>Race</t>
  </si>
  <si>
    <t>BPRS</t>
  </si>
  <si>
    <t>Positive</t>
  </si>
  <si>
    <t>Negative</t>
  </si>
  <si>
    <t>Disorganized</t>
  </si>
  <si>
    <t>Depression</t>
  </si>
  <si>
    <t>Mania</t>
  </si>
  <si>
    <t>Parents</t>
  </si>
  <si>
    <t>Participant</t>
  </si>
  <si>
    <t>Years of Education</t>
  </si>
  <si>
    <t>#</t>
  </si>
  <si>
    <t>%</t>
  </si>
  <si>
    <t>M</t>
  </si>
  <si>
    <t>SD</t>
  </si>
  <si>
    <t>Asian</t>
  </si>
  <si>
    <t>Sensitivity Pre</t>
  </si>
  <si>
    <t>Sensitivity Post</t>
  </si>
  <si>
    <t>Response Bias Pre</t>
  </si>
  <si>
    <t>Response Bias Post</t>
  </si>
  <si>
    <t>Table 1. General Characteristics of the Sample: Sociodemographic, Symptoms, and Task Performance</t>
  </si>
  <si>
    <t>stats</t>
  </si>
  <si>
    <t>p_value</t>
  </si>
  <si>
    <t>Hit Rate Pre</t>
  </si>
  <si>
    <t>Hit Rate Post</t>
  </si>
  <si>
    <t>False Alarm Rate Post</t>
  </si>
  <si>
    <t>False Alarm Rate Pre</t>
  </si>
  <si>
    <t>version</t>
  </si>
  <si>
    <t>var</t>
  </si>
  <si>
    <t>type</t>
  </si>
  <si>
    <t>factor</t>
  </si>
  <si>
    <t>frequency</t>
  </si>
  <si>
    <t>percentage</t>
  </si>
  <si>
    <t>mean</t>
  </si>
  <si>
    <t>sd</t>
  </si>
  <si>
    <t>min</t>
  </si>
  <si>
    <t>max</t>
  </si>
  <si>
    <t>all</t>
  </si>
  <si>
    <t>age</t>
  </si>
  <si>
    <t>demo_gender</t>
  </si>
  <si>
    <t>race</t>
  </si>
  <si>
    <t>parent_school</t>
  </si>
  <si>
    <t>participant_school</t>
  </si>
  <si>
    <t>bprs_total</t>
  </si>
  <si>
    <t>bprs_pos</t>
  </si>
  <si>
    <t>bprs_neg</t>
  </si>
  <si>
    <t>bprs_disorg</t>
  </si>
  <si>
    <t>bprs_depression</t>
  </si>
  <si>
    <t>bprs_mania</t>
  </si>
  <si>
    <t>dprime_pre</t>
  </si>
  <si>
    <t>dprime_post</t>
  </si>
  <si>
    <t>c_pre</t>
  </si>
  <si>
    <t>c_post</t>
  </si>
  <si>
    <t>fradj_pre</t>
  </si>
  <si>
    <t>fradj_post</t>
  </si>
  <si>
    <t>hradj_pre</t>
  </si>
  <si>
    <t>hradj_post</t>
  </si>
  <si>
    <t>sz</t>
  </si>
  <si>
    <t>hc</t>
  </si>
  <si>
    <t>NaN</t>
  </si>
  <si>
    <t>Inf</t>
  </si>
  <si>
    <t>pcorrect_pre</t>
  </si>
  <si>
    <t>pcorrect_post</t>
  </si>
  <si>
    <t>preport_pre</t>
  </si>
  <si>
    <t>preport_post</t>
  </si>
  <si>
    <t>SWS - SDT</t>
  </si>
  <si>
    <t>SWS - Raw Behaviour</t>
  </si>
  <si>
    <t>p(correct) Pre</t>
  </si>
  <si>
    <t>p(correct) Post</t>
  </si>
  <si>
    <t>p(report 'yes') Pre</t>
  </si>
  <si>
    <t>p(report 'yes') Post</t>
  </si>
  <si>
    <t xml:space="preserve">Note: BPRS = Brief Psychiatric Rating Scale; SWS = Sine-Wave-Speech task; SDT = Signal Detection Theory; # = count or frequency; % percentage; N = sample size; n = group size; M = average or arithmetic mean; SD = standard deviation. For categorical variables we used a chi-squared and for continuous a t-tests.
</t>
  </si>
  <si>
    <t>M / %</t>
  </si>
  <si>
    <t>P Value</t>
  </si>
  <si>
    <t>Patients with SZ</t>
  </si>
  <si>
    <t>Group Comparison</t>
  </si>
  <si>
    <t>t / X2</t>
  </si>
  <si>
    <t>p_val</t>
  </si>
  <si>
    <t>Std_Coefficient</t>
  </si>
  <si>
    <t>Std_Coefficient_CI_low</t>
  </si>
  <si>
    <t>Std_Coefficient_CI_high</t>
  </si>
  <si>
    <t>beh</t>
  </si>
  <si>
    <t>quest</t>
  </si>
  <si>
    <t>rho</t>
  </si>
  <si>
    <t>p_val_cor</t>
  </si>
  <si>
    <t>hitrate_change</t>
  </si>
  <si>
    <t>bprs_hall</t>
  </si>
  <si>
    <t>preport_change</t>
  </si>
  <si>
    <t>c_change</t>
  </si>
  <si>
    <t>pcorrect_change</t>
  </si>
  <si>
    <t>d_change</t>
  </si>
  <si>
    <t>farate_change</t>
  </si>
  <si>
    <t>Sensitivity Post-Pre</t>
  </si>
  <si>
    <t>Response Threshold Pre</t>
  </si>
  <si>
    <t>Response Threshold Post-Pre</t>
  </si>
  <si>
    <t>Hit Rate</t>
  </si>
  <si>
    <t>False Alarm Rate Post-Pre</t>
  </si>
  <si>
    <t>Hit Rate Post-Pre</t>
  </si>
  <si>
    <t>p(correct) Post-Pre</t>
  </si>
  <si>
    <t>p(report 'yes') Post-Pre</t>
  </si>
  <si>
    <t>Hallucinations</t>
  </si>
  <si>
    <t>Table 2. Correlation with Symptoms measured by BPRS</t>
  </si>
  <si>
    <t>Brief Psychiatric Rating Scale (BPRS)</t>
  </si>
  <si>
    <t>False Alarm Rate</t>
  </si>
  <si>
    <t>Sensitivity</t>
  </si>
  <si>
    <t>Response Threshold</t>
  </si>
  <si>
    <t>Pre: Auditory Perceptual Biases</t>
  </si>
  <si>
    <t>Post - Pre: Enhancing Auditory Priors</t>
  </si>
  <si>
    <t>Note: all tests are Spearman correlations. * means a P value &lt; .05. Correlations in bold imply the correlation survived multiple comparisons with Holm-Bonferroni. Correction was conducted with 4 metrics per hypotheses: Pre and change score (i.e., 4 symptoms x 4 performance metrics).</t>
  </si>
  <si>
    <t>missadj_pre</t>
  </si>
  <si>
    <t>missadj_post</t>
  </si>
  <si>
    <t>Miss Rate Pre</t>
  </si>
  <si>
    <t>Miss Rate Post</t>
  </si>
  <si>
    <t>Phase[post]</t>
  </si>
  <si>
    <t>Group[SZ]</t>
  </si>
  <si>
    <t>Interaction</t>
  </si>
  <si>
    <t>p(correct)</t>
  </si>
  <si>
    <t>p(report 'yes')</t>
  </si>
  <si>
    <t>Note: Proportion of p values lower than .05 from 1000 permutations of the Linear Mixed Models with an unbalance design. Thus each permutation randomly selected 27 participants from the 63 participants with SZ.</t>
  </si>
  <si>
    <t>Table S1. Proportion of p values lower than .05 (higher more significant)</t>
  </si>
  <si>
    <t>NA</t>
  </si>
  <si>
    <r>
      <t>Table S1</t>
    </r>
    <r>
      <rPr>
        <sz val="11"/>
        <color rgb="FF000000"/>
        <rFont val="Times New Roman"/>
        <family val="1"/>
      </rPr>
      <t>. Proportion of estimates larger or lower than 0 (null hypothesis)</t>
    </r>
  </si>
  <si>
    <t xml:space="preserve">Note: 1000 permutations of the Linear Mixed Models with a balanced design (i.e., 27 SZ vs 27 HC). Each permutation randomly selected 27 participants from the 63 participants with SZ. Do not consider Phase[post], because the group of reference was always the same for all runs, i.e., 27 HC.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</si>
</sst>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5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33" borderId="11" xfId="0" applyFill="1" applyBorder="1" applyAlignment="1">
      <alignment horizontal="left"/>
    </xf>
    <xf numFmtId="0" fontId="0" fillId="33" borderId="10" xfId="0" applyFill="1" applyBorder="1"/>
    <xf numFmtId="0" fontId="0" fillId="33" borderId="0" xfId="0" applyFill="1"/>
    <xf numFmtId="0" fontId="0" fillId="33" borderId="0" xfId="0" applyFill="1" applyAlignment="1">
      <alignment horizontal="center"/>
    </xf>
    <xf numFmtId="0" fontId="16" fillId="33" borderId="0" xfId="0" applyFont="1" applyFill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1" xfId="0" applyFill="1" applyBorder="1"/>
    <xf numFmtId="0" fontId="0" fillId="33" borderId="0" xfId="0" applyFill="1" applyAlignment="1">
      <alignment horizontal="center" vertical="center"/>
    </xf>
    <xf numFmtId="2" fontId="0" fillId="33" borderId="0" xfId="0" applyNumberFormat="1" applyFill="1" applyAlignment="1">
      <alignment horizontal="center"/>
    </xf>
    <xf numFmtId="164" fontId="0" fillId="33" borderId="0" xfId="0" applyNumberFormat="1" applyFill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33" borderId="11" xfId="0" applyFill="1" applyBorder="1" applyAlignment="1">
      <alignment horizontal="left" vertical="top" wrapText="1"/>
    </xf>
    <xf numFmtId="0" fontId="0" fillId="33" borderId="0" xfId="0" applyFill="1" applyAlignment="1">
      <alignment horizontal="left" vertical="top" wrapText="1"/>
    </xf>
    <xf numFmtId="0" fontId="0" fillId="33" borderId="0" xfId="0" applyFill="1" applyAlignment="1">
      <alignment horizontal="center" vertical="center"/>
    </xf>
    <xf numFmtId="164" fontId="0" fillId="33" borderId="0" xfId="0" applyNumberFormat="1" applyFill="1" applyAlignment="1">
      <alignment horizontal="center" vertical="center"/>
    </xf>
    <xf numFmtId="0" fontId="0" fillId="33" borderId="0" xfId="0" applyFill="1" applyAlignment="1">
      <alignment horizontal="center" vertical="center" wrapText="1"/>
    </xf>
    <xf numFmtId="0" fontId="0" fillId="33" borderId="0" xfId="0" applyFill="1" applyAlignment="1">
      <alignment horizontal="left"/>
    </xf>
    <xf numFmtId="0" fontId="0" fillId="33" borderId="11" xfId="0" applyFill="1" applyBorder="1" applyAlignment="1">
      <alignment horizontal="center"/>
    </xf>
    <xf numFmtId="0" fontId="0" fillId="33" borderId="10" xfId="0" applyFill="1" applyBorder="1" applyAlignment="1">
      <alignment horizontal="left"/>
    </xf>
    <xf numFmtId="0" fontId="0" fillId="33" borderId="10" xfId="0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/>
    <xf numFmtId="0" fontId="0" fillId="33" borderId="12" xfId="0" applyFill="1" applyBorder="1" applyAlignment="1">
      <alignment horizontal="center"/>
    </xf>
    <xf numFmtId="0" fontId="19" fillId="34" borderId="13" xfId="0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0" fontId="19" fillId="34" borderId="0" xfId="0" applyFont="1" applyFill="1" applyAlignment="1">
      <alignment vertical="center"/>
    </xf>
    <xf numFmtId="0" fontId="19" fillId="34" borderId="0" xfId="0" applyFont="1" applyFill="1" applyAlignment="1">
      <alignment horizontal="center" vertical="center"/>
    </xf>
    <xf numFmtId="0" fontId="18" fillId="34" borderId="15" xfId="0" applyFont="1" applyFill="1" applyBorder="1" applyAlignment="1">
      <alignment vertical="center"/>
    </xf>
    <xf numFmtId="0" fontId="19" fillId="34" borderId="14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BC1E-BE45-4A47-AFEF-6C840E44627E}">
  <dimension ref="A1:R33"/>
  <sheetViews>
    <sheetView workbookViewId="0">
      <selection activeCell="R3" sqref="A2:R3"/>
    </sheetView>
  </sheetViews>
  <sheetFormatPr defaultRowHeight="14.35" x14ac:dyDescent="0.5"/>
  <cols>
    <col min="1" max="1" width="10.46875" customWidth="1"/>
    <col min="2" max="2" width="18" bestFit="1" customWidth="1"/>
    <col min="3" max="3" width="2.76171875" bestFit="1" customWidth="1"/>
    <col min="4" max="4" width="5.76171875" customWidth="1"/>
    <col min="5" max="5" width="2.76171875" bestFit="1" customWidth="1"/>
    <col min="6" max="7" width="5.76171875" customWidth="1"/>
    <col min="8" max="8" width="2.76171875" bestFit="1" customWidth="1"/>
    <col min="9" max="9" width="5.76171875" customWidth="1"/>
    <col min="10" max="10" width="2.76171875" bestFit="1" customWidth="1"/>
    <col min="11" max="12" width="5.76171875" customWidth="1"/>
    <col min="13" max="13" width="2.76171875" bestFit="1" customWidth="1"/>
    <col min="14" max="14" width="5.76171875" customWidth="1"/>
    <col min="15" max="15" width="2.76171875" bestFit="1" customWidth="1"/>
    <col min="16" max="16" width="5.76171875" customWidth="1"/>
    <col min="17" max="17" width="4.76171875" bestFit="1" customWidth="1"/>
    <col min="18" max="18" width="6.76171875" bestFit="1" customWidth="1"/>
    <col min="27" max="28" width="9.29296875" bestFit="1" customWidth="1"/>
    <col min="31" max="32" width="9.29296875" bestFit="1" customWidth="1"/>
    <col min="35" max="36" width="9.29296875" bestFit="1" customWidth="1"/>
  </cols>
  <sheetData>
    <row r="1" spans="1:18" x14ac:dyDescent="0.5">
      <c r="A1" s="19" t="s">
        <v>32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x14ac:dyDescent="0.5">
      <c r="C2" s="22" t="s">
        <v>4</v>
      </c>
      <c r="D2" s="22"/>
      <c r="E2" s="22"/>
      <c r="F2" s="22"/>
      <c r="G2" s="22"/>
      <c r="H2" s="22" t="s">
        <v>2</v>
      </c>
      <c r="I2" s="22"/>
      <c r="J2" s="22"/>
      <c r="K2" s="22"/>
      <c r="L2" s="22"/>
      <c r="M2" s="22" t="s">
        <v>1</v>
      </c>
      <c r="N2" s="22"/>
      <c r="O2" s="22"/>
      <c r="P2" s="22"/>
      <c r="Q2" s="22"/>
      <c r="R2" t="s">
        <v>33</v>
      </c>
    </row>
    <row r="3" spans="1:18" x14ac:dyDescent="0.5">
      <c r="C3" s="1" t="s">
        <v>23</v>
      </c>
      <c r="D3" s="1" t="s">
        <v>24</v>
      </c>
      <c r="E3" s="1" t="s">
        <v>0</v>
      </c>
      <c r="F3" s="1" t="s">
        <v>25</v>
      </c>
      <c r="G3" s="1" t="s">
        <v>26</v>
      </c>
      <c r="H3" s="1" t="s">
        <v>23</v>
      </c>
      <c r="I3" s="1" t="s">
        <v>24</v>
      </c>
      <c r="J3" s="1" t="s">
        <v>0</v>
      </c>
      <c r="K3" s="1" t="s">
        <v>25</v>
      </c>
      <c r="L3" s="1" t="s">
        <v>26</v>
      </c>
      <c r="M3" s="1" t="s">
        <v>23</v>
      </c>
      <c r="N3" s="1" t="s">
        <v>24</v>
      </c>
      <c r="O3" s="1" t="s">
        <v>0</v>
      </c>
      <c r="P3" s="1" t="s">
        <v>25</v>
      </c>
      <c r="Q3" s="1" t="s">
        <v>26</v>
      </c>
      <c r="R3" s="1" t="s">
        <v>34</v>
      </c>
    </row>
    <row r="4" spans="1:18" x14ac:dyDescent="0.5">
      <c r="A4" s="2" t="s">
        <v>12</v>
      </c>
      <c r="C4" s="1"/>
      <c r="D4" s="1"/>
      <c r="E4" s="1">
        <v>90</v>
      </c>
      <c r="F4" s="1">
        <v>40.619999999999997</v>
      </c>
      <c r="G4" s="1">
        <v>10.76</v>
      </c>
      <c r="H4" s="1"/>
      <c r="I4" s="1"/>
      <c r="J4" s="1">
        <v>63</v>
      </c>
      <c r="K4" s="1">
        <v>42.25</v>
      </c>
      <c r="L4" s="1">
        <v>10.8</v>
      </c>
      <c r="M4" s="1"/>
      <c r="N4" s="1"/>
      <c r="O4" s="1">
        <v>27</v>
      </c>
      <c r="P4" s="1">
        <v>36.81</v>
      </c>
      <c r="Q4" s="1">
        <v>9.82</v>
      </c>
      <c r="R4" s="1">
        <v>2.3E-2</v>
      </c>
    </row>
    <row r="5" spans="1:18" x14ac:dyDescent="0.5">
      <c r="A5" s="18" t="s">
        <v>11</v>
      </c>
      <c r="B5" t="s">
        <v>5</v>
      </c>
      <c r="C5" s="1">
        <v>46</v>
      </c>
      <c r="D5" s="1">
        <v>51.11</v>
      </c>
      <c r="E5" s="1"/>
      <c r="F5" s="1"/>
      <c r="G5" s="1"/>
      <c r="H5" s="1">
        <v>31</v>
      </c>
      <c r="I5" s="1">
        <v>49.21</v>
      </c>
      <c r="J5" s="1"/>
      <c r="K5" s="1"/>
      <c r="L5" s="1"/>
      <c r="M5" s="1">
        <v>15</v>
      </c>
      <c r="N5" s="1">
        <v>55.56</v>
      </c>
      <c r="O5" s="1"/>
      <c r="P5" s="1"/>
      <c r="Q5" s="1"/>
      <c r="R5" s="1">
        <v>0.71630000000000005</v>
      </c>
    </row>
    <row r="6" spans="1:18" x14ac:dyDescent="0.5">
      <c r="A6" s="18"/>
      <c r="B6" t="s">
        <v>6</v>
      </c>
      <c r="C6" s="1">
        <v>43</v>
      </c>
      <c r="D6" s="1">
        <v>47.78</v>
      </c>
      <c r="E6" s="1"/>
      <c r="F6" s="1"/>
      <c r="G6" s="1"/>
      <c r="H6" s="1">
        <v>31</v>
      </c>
      <c r="I6" s="1">
        <v>49.21</v>
      </c>
      <c r="J6" s="1"/>
      <c r="K6" s="1"/>
      <c r="L6" s="1"/>
      <c r="M6" s="1">
        <v>12</v>
      </c>
      <c r="N6" s="1">
        <v>44.44</v>
      </c>
      <c r="O6" s="1"/>
      <c r="P6" s="1"/>
      <c r="Q6" s="1"/>
      <c r="R6" s="1"/>
    </row>
    <row r="7" spans="1:18" x14ac:dyDescent="0.5">
      <c r="A7" s="18"/>
      <c r="B7" t="s">
        <v>7</v>
      </c>
      <c r="C7" s="1">
        <v>1</v>
      </c>
      <c r="D7" s="1">
        <v>1.1100000000000001</v>
      </c>
      <c r="E7" s="1"/>
      <c r="F7" s="1"/>
      <c r="G7" s="1"/>
      <c r="H7" s="1">
        <v>1</v>
      </c>
      <c r="I7" s="1">
        <v>1.59</v>
      </c>
      <c r="J7" s="1"/>
      <c r="K7" s="1"/>
      <c r="L7" s="1"/>
      <c r="M7" s="1"/>
      <c r="N7" s="1"/>
      <c r="O7" s="1"/>
      <c r="P7" s="1"/>
      <c r="Q7" s="1"/>
      <c r="R7" s="1"/>
    </row>
    <row r="8" spans="1:18" x14ac:dyDescent="0.5">
      <c r="A8" s="18" t="s">
        <v>13</v>
      </c>
      <c r="B8" t="s">
        <v>8</v>
      </c>
      <c r="C8" s="1">
        <v>42</v>
      </c>
      <c r="D8" s="1">
        <v>46.67</v>
      </c>
      <c r="E8" s="1"/>
      <c r="F8" s="1"/>
      <c r="G8" s="1"/>
      <c r="H8" s="1">
        <v>31</v>
      </c>
      <c r="I8" s="1">
        <v>49.21</v>
      </c>
      <c r="J8" s="1"/>
      <c r="K8" s="1"/>
      <c r="L8" s="1"/>
      <c r="M8" s="1">
        <v>11</v>
      </c>
      <c r="N8" s="1">
        <v>40.74</v>
      </c>
      <c r="O8" s="1"/>
      <c r="P8" s="1"/>
      <c r="Q8" s="1"/>
      <c r="R8" s="1">
        <v>5.9200000000000003E-2</v>
      </c>
    </row>
    <row r="9" spans="1:18" x14ac:dyDescent="0.5">
      <c r="A9" s="18"/>
      <c r="B9" t="s">
        <v>9</v>
      </c>
      <c r="C9" s="1">
        <v>35</v>
      </c>
      <c r="D9" s="1">
        <v>38.89</v>
      </c>
      <c r="E9" s="1"/>
      <c r="F9" s="1"/>
      <c r="G9" s="1"/>
      <c r="H9" s="1">
        <v>27</v>
      </c>
      <c r="I9" s="1">
        <v>42.86</v>
      </c>
      <c r="J9" s="1"/>
      <c r="K9" s="1"/>
      <c r="L9" s="1"/>
      <c r="M9" s="1">
        <v>8</v>
      </c>
      <c r="N9" s="1">
        <v>29.63</v>
      </c>
      <c r="O9" s="1"/>
      <c r="P9" s="1"/>
      <c r="Q9" s="1"/>
      <c r="R9" s="1"/>
    </row>
    <row r="10" spans="1:18" x14ac:dyDescent="0.5">
      <c r="A10" s="18"/>
      <c r="B10" t="s">
        <v>27</v>
      </c>
      <c r="C10" s="1">
        <v>7</v>
      </c>
      <c r="D10" s="1">
        <v>7.78</v>
      </c>
      <c r="E10" s="1"/>
      <c r="F10" s="1"/>
      <c r="G10" s="1"/>
      <c r="H10" s="1">
        <v>3</v>
      </c>
      <c r="I10" s="1">
        <v>4.76</v>
      </c>
      <c r="J10" s="1"/>
      <c r="K10" s="1"/>
      <c r="L10" s="1"/>
      <c r="M10" s="1">
        <v>4</v>
      </c>
      <c r="N10" s="1">
        <v>14.81</v>
      </c>
      <c r="O10" s="1"/>
      <c r="P10" s="1"/>
      <c r="Q10" s="1"/>
      <c r="R10" s="1"/>
    </row>
    <row r="11" spans="1:18" x14ac:dyDescent="0.5">
      <c r="A11" s="18"/>
      <c r="B11" t="s">
        <v>10</v>
      </c>
      <c r="C11" s="1">
        <v>6</v>
      </c>
      <c r="D11" s="1">
        <v>6.67</v>
      </c>
      <c r="E11" s="1"/>
      <c r="F11" s="1"/>
      <c r="G11" s="1"/>
      <c r="H11" s="1">
        <v>2</v>
      </c>
      <c r="I11" s="1">
        <v>3.17</v>
      </c>
      <c r="J11" s="1"/>
      <c r="K11" s="1"/>
      <c r="L11" s="1"/>
      <c r="M11" s="1">
        <v>4</v>
      </c>
      <c r="N11" s="1">
        <v>14.81</v>
      </c>
      <c r="O11" s="1"/>
      <c r="P11" s="1"/>
      <c r="Q11" s="1"/>
      <c r="R11" s="1"/>
    </row>
    <row r="12" spans="1:18" x14ac:dyDescent="0.5">
      <c r="A12" s="21" t="s">
        <v>22</v>
      </c>
      <c r="B12" t="s">
        <v>20</v>
      </c>
      <c r="C12" s="1"/>
      <c r="D12" s="1"/>
      <c r="E12" s="1">
        <v>87</v>
      </c>
      <c r="F12" s="1">
        <v>15.01</v>
      </c>
      <c r="G12" s="1">
        <v>3.06</v>
      </c>
      <c r="H12" s="1"/>
      <c r="I12" s="1"/>
      <c r="J12" s="1">
        <v>61</v>
      </c>
      <c r="K12" s="1">
        <v>14.93</v>
      </c>
      <c r="L12" s="1">
        <v>2.69</v>
      </c>
      <c r="M12" s="1"/>
      <c r="N12" s="1"/>
      <c r="O12" s="1">
        <v>26</v>
      </c>
      <c r="P12" s="1">
        <v>15.19</v>
      </c>
      <c r="Q12" s="1">
        <v>3.86</v>
      </c>
      <c r="R12" s="1">
        <v>0.75819999999999999</v>
      </c>
    </row>
    <row r="13" spans="1:18" x14ac:dyDescent="0.5">
      <c r="A13" s="21"/>
      <c r="B13" t="s">
        <v>21</v>
      </c>
      <c r="C13" s="1"/>
      <c r="D13" s="1"/>
      <c r="E13" s="1">
        <v>90</v>
      </c>
      <c r="F13" s="1">
        <v>14.35</v>
      </c>
      <c r="G13" s="1">
        <v>3.42</v>
      </c>
      <c r="H13" s="1"/>
      <c r="I13" s="1"/>
      <c r="J13" s="1">
        <v>63</v>
      </c>
      <c r="K13" s="1">
        <v>13.74</v>
      </c>
      <c r="L13" s="1">
        <v>3.33</v>
      </c>
      <c r="M13" s="1"/>
      <c r="N13" s="1"/>
      <c r="O13" s="1">
        <v>27</v>
      </c>
      <c r="P13" s="1">
        <v>15.78</v>
      </c>
      <c r="Q13" s="1">
        <v>3.26</v>
      </c>
      <c r="R13" s="1">
        <v>9.4000000000000004E-3</v>
      </c>
    </row>
    <row r="14" spans="1:18" x14ac:dyDescent="0.5">
      <c r="A14" s="18" t="s">
        <v>14</v>
      </c>
      <c r="B14" t="s">
        <v>3</v>
      </c>
      <c r="C14" s="1"/>
      <c r="D14" s="1"/>
      <c r="E14" s="1">
        <v>62</v>
      </c>
      <c r="F14" s="1">
        <v>44</v>
      </c>
      <c r="G14" s="1">
        <v>10.97</v>
      </c>
      <c r="H14" s="1"/>
      <c r="I14" s="1"/>
      <c r="J14" s="1">
        <v>62</v>
      </c>
      <c r="K14" s="1">
        <v>44</v>
      </c>
      <c r="L14" s="1">
        <v>10.97</v>
      </c>
      <c r="M14" s="1"/>
      <c r="N14" s="1"/>
      <c r="O14" s="1"/>
      <c r="P14" s="1"/>
      <c r="Q14" s="1"/>
      <c r="R14" s="1"/>
    </row>
    <row r="15" spans="1:18" x14ac:dyDescent="0.5">
      <c r="A15" s="18"/>
      <c r="B15" t="s">
        <v>15</v>
      </c>
      <c r="C15" s="1"/>
      <c r="D15" s="1"/>
      <c r="E15" s="1">
        <v>63</v>
      </c>
      <c r="F15" s="1">
        <v>10.92</v>
      </c>
      <c r="G15" s="1">
        <v>5.7</v>
      </c>
      <c r="H15" s="1"/>
      <c r="I15" s="1"/>
      <c r="J15" s="1">
        <v>63</v>
      </c>
      <c r="K15" s="1">
        <v>10.92</v>
      </c>
      <c r="L15" s="1">
        <v>5.7</v>
      </c>
      <c r="M15" s="1"/>
      <c r="N15" s="1"/>
      <c r="O15" s="1"/>
      <c r="P15" s="1"/>
      <c r="Q15" s="1"/>
      <c r="R15" s="1"/>
    </row>
    <row r="16" spans="1:18" x14ac:dyDescent="0.5">
      <c r="A16" s="18"/>
      <c r="B16" t="s">
        <v>16</v>
      </c>
      <c r="C16" s="1"/>
      <c r="D16" s="1"/>
      <c r="E16" s="1">
        <v>63</v>
      </c>
      <c r="F16" s="1">
        <v>5.78</v>
      </c>
      <c r="G16" s="1">
        <v>2.89</v>
      </c>
      <c r="H16" s="1"/>
      <c r="I16" s="1"/>
      <c r="J16" s="1">
        <v>63</v>
      </c>
      <c r="K16" s="1">
        <v>5.78</v>
      </c>
      <c r="L16" s="1">
        <v>2.89</v>
      </c>
      <c r="M16" s="1"/>
      <c r="N16" s="1"/>
      <c r="O16" s="1"/>
      <c r="P16" s="1"/>
      <c r="Q16" s="1"/>
      <c r="R16" s="1"/>
    </row>
    <row r="17" spans="1:18" x14ac:dyDescent="0.5">
      <c r="A17" s="18"/>
      <c r="B17" t="s">
        <v>17</v>
      </c>
      <c r="C17" s="1"/>
      <c r="D17" s="1"/>
      <c r="E17" s="1">
        <v>63</v>
      </c>
      <c r="F17" s="1">
        <v>5.13</v>
      </c>
      <c r="G17" s="1">
        <v>1.65</v>
      </c>
      <c r="H17" s="1"/>
      <c r="I17" s="1"/>
      <c r="J17" s="1">
        <v>63</v>
      </c>
      <c r="K17" s="1">
        <v>5.13</v>
      </c>
      <c r="L17" s="1">
        <v>1.65</v>
      </c>
      <c r="M17" s="1"/>
      <c r="N17" s="1"/>
      <c r="O17" s="1"/>
      <c r="P17" s="1"/>
      <c r="Q17" s="1"/>
      <c r="R17" s="1"/>
    </row>
    <row r="18" spans="1:18" x14ac:dyDescent="0.5">
      <c r="A18" s="18"/>
      <c r="B18" t="s">
        <v>18</v>
      </c>
      <c r="C18" s="1"/>
      <c r="D18" s="1"/>
      <c r="E18" s="1">
        <v>63</v>
      </c>
      <c r="F18" s="1">
        <v>5.68</v>
      </c>
      <c r="G18" s="1">
        <v>2.75</v>
      </c>
      <c r="H18" s="1"/>
      <c r="I18" s="1"/>
      <c r="J18" s="1">
        <v>63</v>
      </c>
      <c r="K18" s="1">
        <v>5.68</v>
      </c>
      <c r="L18" s="1">
        <v>2.75</v>
      </c>
      <c r="M18" s="1"/>
      <c r="N18" s="1"/>
      <c r="O18" s="1"/>
      <c r="P18" s="1"/>
      <c r="Q18" s="1"/>
      <c r="R18" s="1"/>
    </row>
    <row r="19" spans="1:18" x14ac:dyDescent="0.5">
      <c r="A19" s="18"/>
      <c r="B19" t="s">
        <v>19</v>
      </c>
      <c r="C19" s="1"/>
      <c r="D19" s="1"/>
      <c r="E19" s="1">
        <v>63</v>
      </c>
      <c r="F19" s="1">
        <v>4.84</v>
      </c>
      <c r="G19" s="1">
        <v>1.42</v>
      </c>
      <c r="H19" s="1"/>
      <c r="I19" s="1"/>
      <c r="J19" s="1">
        <v>63</v>
      </c>
      <c r="K19" s="1">
        <v>4.84</v>
      </c>
      <c r="L19" s="1">
        <v>1.42</v>
      </c>
      <c r="M19" s="1"/>
      <c r="N19" s="1"/>
      <c r="O19" s="1"/>
      <c r="P19" s="1"/>
      <c r="Q19" s="1"/>
      <c r="R19" s="1"/>
    </row>
    <row r="20" spans="1:18" x14ac:dyDescent="0.5">
      <c r="A20" s="21" t="s">
        <v>78</v>
      </c>
      <c r="B20" t="s">
        <v>79</v>
      </c>
      <c r="C20" s="1"/>
      <c r="D20" s="1"/>
      <c r="E20" s="1">
        <v>90</v>
      </c>
      <c r="F20" s="3">
        <v>0.87148148148148197</v>
      </c>
      <c r="G20" s="3">
        <v>0.12617103021967599</v>
      </c>
      <c r="H20" s="1"/>
      <c r="I20" s="1"/>
      <c r="J20" s="1">
        <v>63</v>
      </c>
      <c r="K20" s="3">
        <v>0.87848324514991205</v>
      </c>
      <c r="L20" s="3">
        <v>0.12827739344463099</v>
      </c>
      <c r="M20" s="1"/>
      <c r="N20" s="1"/>
      <c r="O20" s="1">
        <v>27</v>
      </c>
      <c r="P20" s="3">
        <v>0.85514403292181096</v>
      </c>
      <c r="Q20" s="3">
        <v>0.121890828174955</v>
      </c>
      <c r="R20" s="1">
        <v>0.41639999999999999</v>
      </c>
    </row>
    <row r="21" spans="1:18" x14ac:dyDescent="0.5">
      <c r="A21" s="21"/>
      <c r="B21" t="s">
        <v>80</v>
      </c>
      <c r="C21" s="1"/>
      <c r="D21" s="1"/>
      <c r="E21" s="1">
        <v>90</v>
      </c>
      <c r="F21" s="3">
        <v>0.85308641975308597</v>
      </c>
      <c r="G21" s="3">
        <v>0.13247515938263599</v>
      </c>
      <c r="H21" s="1"/>
      <c r="I21" s="1"/>
      <c r="J21" s="1">
        <v>63</v>
      </c>
      <c r="K21" s="3">
        <v>0.86137566137566102</v>
      </c>
      <c r="L21" s="3">
        <v>0.136664730919315</v>
      </c>
      <c r="M21" s="1"/>
      <c r="N21" s="1"/>
      <c r="O21" s="1">
        <v>27</v>
      </c>
      <c r="P21" s="3">
        <v>0.83374485596707804</v>
      </c>
      <c r="Q21" s="3">
        <v>0.122396204121288</v>
      </c>
      <c r="R21" s="1">
        <v>0.3478</v>
      </c>
    </row>
    <row r="22" spans="1:18" x14ac:dyDescent="0.5">
      <c r="A22" s="21"/>
      <c r="B22" t="s">
        <v>81</v>
      </c>
      <c r="C22" s="1"/>
      <c r="D22" s="1"/>
      <c r="E22" s="1">
        <v>90</v>
      </c>
      <c r="F22" s="3">
        <v>0.49641975308642</v>
      </c>
      <c r="G22" s="3">
        <v>0.15319981682461101</v>
      </c>
      <c r="H22" s="1"/>
      <c r="I22" s="1"/>
      <c r="J22" s="1">
        <v>63</v>
      </c>
      <c r="K22" s="3">
        <v>0.51781305114638398</v>
      </c>
      <c r="L22" s="3">
        <v>0.15106867001695501</v>
      </c>
      <c r="M22" s="1"/>
      <c r="N22" s="1"/>
      <c r="O22" s="1">
        <v>27</v>
      </c>
      <c r="P22" s="3">
        <v>0.44650205761316902</v>
      </c>
      <c r="Q22" s="3">
        <v>0.14907237822939901</v>
      </c>
      <c r="R22" s="1">
        <v>4.3529999999999999E-2</v>
      </c>
    </row>
    <row r="23" spans="1:18" x14ac:dyDescent="0.5">
      <c r="A23" s="21"/>
      <c r="B23" t="s">
        <v>82</v>
      </c>
      <c r="C23" s="1"/>
      <c r="D23" s="1"/>
      <c r="E23" s="1">
        <v>90</v>
      </c>
      <c r="F23" s="3">
        <v>0.55629629629629596</v>
      </c>
      <c r="G23" s="3">
        <v>0.156549349120161</v>
      </c>
      <c r="H23" s="1"/>
      <c r="I23" s="1"/>
      <c r="J23" s="1">
        <v>63</v>
      </c>
      <c r="K23" s="3">
        <v>0.57336860670194001</v>
      </c>
      <c r="L23" s="3">
        <v>0.15097637471136499</v>
      </c>
      <c r="M23" s="1"/>
      <c r="N23" s="1"/>
      <c r="O23" s="1">
        <v>27</v>
      </c>
      <c r="P23" s="3">
        <v>0.51646090534979405</v>
      </c>
      <c r="Q23" s="3">
        <v>0.164872691695608</v>
      </c>
      <c r="R23" s="1">
        <v>0.13089999999999999</v>
      </c>
    </row>
    <row r="24" spans="1:18" x14ac:dyDescent="0.5">
      <c r="A24" s="18" t="s">
        <v>77</v>
      </c>
      <c r="B24" t="s">
        <v>28</v>
      </c>
      <c r="C24" s="1"/>
      <c r="D24" s="1"/>
      <c r="E24" s="1">
        <v>90</v>
      </c>
      <c r="F24" s="1">
        <v>2.96</v>
      </c>
      <c r="G24" s="1">
        <v>1.17</v>
      </c>
      <c r="H24" s="1"/>
      <c r="I24" s="1"/>
      <c r="J24" s="1">
        <v>63</v>
      </c>
      <c r="K24" s="1">
        <v>3.02</v>
      </c>
      <c r="L24" s="1">
        <v>1.2</v>
      </c>
      <c r="M24" s="1"/>
      <c r="N24" s="1"/>
      <c r="O24" s="1">
        <v>27</v>
      </c>
      <c r="P24" s="1">
        <v>2.81</v>
      </c>
      <c r="Q24" s="1">
        <v>1.1100000000000001</v>
      </c>
      <c r="R24" s="1">
        <v>0.40920000000000001</v>
      </c>
    </row>
    <row r="25" spans="1:18" x14ac:dyDescent="0.5">
      <c r="A25" s="18"/>
      <c r="B25" t="s">
        <v>29</v>
      </c>
      <c r="C25" s="1"/>
      <c r="D25" s="1"/>
      <c r="E25" s="1">
        <v>90</v>
      </c>
      <c r="F25" s="1">
        <v>2.92</v>
      </c>
      <c r="G25" s="1">
        <v>1.22</v>
      </c>
      <c r="H25" s="1"/>
      <c r="I25" s="1"/>
      <c r="J25" s="1">
        <v>63</v>
      </c>
      <c r="K25" s="1">
        <v>3.02</v>
      </c>
      <c r="L25" s="1">
        <v>1.24</v>
      </c>
      <c r="M25" s="1"/>
      <c r="N25" s="1"/>
      <c r="O25" s="1">
        <v>27</v>
      </c>
      <c r="P25" s="1">
        <v>2.68</v>
      </c>
      <c r="Q25" s="1">
        <v>1.1399999999999999</v>
      </c>
      <c r="R25" s="1">
        <v>0.21</v>
      </c>
    </row>
    <row r="26" spans="1:18" x14ac:dyDescent="0.5">
      <c r="A26" s="18"/>
      <c r="B26" t="s">
        <v>30</v>
      </c>
      <c r="C26" s="1"/>
      <c r="D26" s="1"/>
      <c r="E26" s="1">
        <v>90</v>
      </c>
      <c r="F26" s="1">
        <v>-0.03</v>
      </c>
      <c r="G26" s="1">
        <v>0.71</v>
      </c>
      <c r="H26" s="1"/>
      <c r="I26" s="1"/>
      <c r="J26" s="1">
        <v>63</v>
      </c>
      <c r="K26" s="1">
        <v>-0.14000000000000001</v>
      </c>
      <c r="L26" s="1">
        <v>0.71</v>
      </c>
      <c r="M26" s="1"/>
      <c r="N26" s="1"/>
      <c r="O26" s="1">
        <v>27</v>
      </c>
      <c r="P26" s="1">
        <v>0.22</v>
      </c>
      <c r="Q26" s="1">
        <v>0.67</v>
      </c>
      <c r="R26" s="1">
        <v>2.5700000000000001E-2</v>
      </c>
    </row>
    <row r="27" spans="1:18" x14ac:dyDescent="0.5">
      <c r="A27" s="18"/>
      <c r="B27" t="s">
        <v>31</v>
      </c>
      <c r="C27" s="1"/>
      <c r="D27" s="1"/>
      <c r="E27" s="1">
        <v>90</v>
      </c>
      <c r="F27" s="1">
        <v>-0.27</v>
      </c>
      <c r="G27" s="1">
        <v>0.69</v>
      </c>
      <c r="H27" s="1"/>
      <c r="I27" s="1"/>
      <c r="J27" s="1">
        <v>63</v>
      </c>
      <c r="K27" s="1">
        <v>-0.34</v>
      </c>
      <c r="L27" s="1">
        <v>0.66</v>
      </c>
      <c r="M27" s="1"/>
      <c r="N27" s="1"/>
      <c r="O27" s="1">
        <v>27</v>
      </c>
      <c r="P27" s="1">
        <v>-0.11</v>
      </c>
      <c r="Q27" s="1">
        <v>0.73</v>
      </c>
      <c r="R27" s="1">
        <v>0.16700000000000001</v>
      </c>
    </row>
    <row r="28" spans="1:18" x14ac:dyDescent="0.5">
      <c r="A28" s="18"/>
      <c r="B28" t="s">
        <v>38</v>
      </c>
      <c r="C28" s="1"/>
      <c r="D28" s="1"/>
      <c r="E28" s="1">
        <v>90</v>
      </c>
      <c r="F28" s="1">
        <v>0.13</v>
      </c>
      <c r="G28" s="1">
        <v>0.18</v>
      </c>
      <c r="H28" s="1"/>
      <c r="I28" s="1"/>
      <c r="J28" s="1">
        <v>63</v>
      </c>
      <c r="K28" s="1">
        <v>0.14000000000000001</v>
      </c>
      <c r="L28" s="1">
        <v>0.19</v>
      </c>
      <c r="M28" s="1"/>
      <c r="N28" s="1"/>
      <c r="O28" s="1">
        <v>27</v>
      </c>
      <c r="P28" s="1">
        <v>0.1</v>
      </c>
      <c r="Q28" s="1">
        <v>0.12</v>
      </c>
      <c r="R28" s="1">
        <v>0.16819999999999999</v>
      </c>
    </row>
    <row r="29" spans="1:18" x14ac:dyDescent="0.5">
      <c r="A29" s="18"/>
      <c r="B29" t="s">
        <v>37</v>
      </c>
      <c r="C29" s="1"/>
      <c r="D29" s="1"/>
      <c r="E29" s="1">
        <v>90</v>
      </c>
      <c r="F29" s="1">
        <v>0.21</v>
      </c>
      <c r="G29" s="1">
        <v>0.24</v>
      </c>
      <c r="H29" s="1"/>
      <c r="I29" s="1"/>
      <c r="J29" s="1">
        <v>63</v>
      </c>
      <c r="K29" s="1">
        <v>0.21</v>
      </c>
      <c r="L29" s="1">
        <v>0.25</v>
      </c>
      <c r="M29" s="1"/>
      <c r="N29" s="1"/>
      <c r="O29" s="1">
        <v>27</v>
      </c>
      <c r="P29" s="1">
        <v>0.19</v>
      </c>
      <c r="Q29" s="1">
        <v>0.19</v>
      </c>
      <c r="R29" s="1">
        <v>0.54579999999999995</v>
      </c>
    </row>
    <row r="30" spans="1:18" x14ac:dyDescent="0.5">
      <c r="A30" s="18"/>
      <c r="B30" t="s">
        <v>35</v>
      </c>
      <c r="C30" s="1"/>
      <c r="D30" s="1"/>
      <c r="E30" s="1">
        <v>90</v>
      </c>
      <c r="F30" s="1">
        <v>0.86</v>
      </c>
      <c r="G30" s="1">
        <v>0.21</v>
      </c>
      <c r="H30" s="1"/>
      <c r="I30" s="1"/>
      <c r="J30" s="1">
        <v>63</v>
      </c>
      <c r="K30" s="1">
        <v>0.89</v>
      </c>
      <c r="L30" s="1">
        <v>0.2</v>
      </c>
      <c r="M30" s="1"/>
      <c r="N30" s="1"/>
      <c r="O30" s="1">
        <v>27</v>
      </c>
      <c r="P30" s="1">
        <v>0.8</v>
      </c>
      <c r="Q30" s="1">
        <v>0.24</v>
      </c>
      <c r="R30" s="1">
        <v>8.1699999999999995E-2</v>
      </c>
    </row>
    <row r="31" spans="1:18" x14ac:dyDescent="0.5">
      <c r="A31" s="18"/>
      <c r="B31" t="s">
        <v>36</v>
      </c>
      <c r="C31" s="1"/>
      <c r="D31" s="1"/>
      <c r="E31" s="1">
        <v>90</v>
      </c>
      <c r="F31" s="1">
        <v>0.9</v>
      </c>
      <c r="G31" s="1">
        <v>0.16</v>
      </c>
      <c r="H31" s="1"/>
      <c r="I31" s="1"/>
      <c r="J31" s="1">
        <v>63</v>
      </c>
      <c r="K31" s="1">
        <v>0.93</v>
      </c>
      <c r="L31" s="1">
        <v>0.13</v>
      </c>
      <c r="M31" s="1"/>
      <c r="N31" s="1"/>
      <c r="O31" s="1">
        <v>27</v>
      </c>
      <c r="P31" s="1">
        <v>0.85</v>
      </c>
      <c r="Q31" s="1">
        <v>0.21</v>
      </c>
      <c r="R31" s="1">
        <v>6.7699999999999996E-2</v>
      </c>
    </row>
    <row r="32" spans="1:18" ht="14.35" customHeight="1" x14ac:dyDescent="0.5">
      <c r="A32" s="20" t="s">
        <v>83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</row>
    <row r="33" spans="1:18" x14ac:dyDescent="0.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</row>
  </sheetData>
  <mergeCells count="11">
    <mergeCell ref="A14:A19"/>
    <mergeCell ref="A1:R1"/>
    <mergeCell ref="A32:R33"/>
    <mergeCell ref="A12:A13"/>
    <mergeCell ref="M2:Q2"/>
    <mergeCell ref="H2:L2"/>
    <mergeCell ref="C2:G2"/>
    <mergeCell ref="A5:A7"/>
    <mergeCell ref="A8:A11"/>
    <mergeCell ref="A24:A31"/>
    <mergeCell ref="A20:A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A0AA-3A06-4422-8F70-42123E9A394F}">
  <dimension ref="A1:K42"/>
  <sheetViews>
    <sheetView workbookViewId="0">
      <selection sqref="A1:J1"/>
    </sheetView>
  </sheetViews>
  <sheetFormatPr defaultRowHeight="14.35" x14ac:dyDescent="0.5"/>
  <cols>
    <col min="1" max="1" width="10.46875" customWidth="1"/>
    <col min="2" max="2" width="18" bestFit="1" customWidth="1"/>
    <col min="3" max="8" width="6.5859375" customWidth="1"/>
    <col min="9" max="10" width="8.703125" customWidth="1"/>
    <col min="19" max="20" width="9.29296875" bestFit="1" customWidth="1"/>
    <col min="23" max="24" width="9.29296875" bestFit="1" customWidth="1"/>
    <col min="27" max="28" width="9.29296875" bestFit="1" customWidth="1"/>
  </cols>
  <sheetData>
    <row r="1" spans="1:10" x14ac:dyDescent="0.5">
      <c r="A1" s="28" t="s">
        <v>32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x14ac:dyDescent="0.5">
      <c r="A2" s="13"/>
      <c r="B2" s="13"/>
      <c r="C2" s="29" t="s">
        <v>86</v>
      </c>
      <c r="D2" s="29"/>
      <c r="E2" s="29"/>
      <c r="F2" s="29" t="s">
        <v>1</v>
      </c>
      <c r="G2" s="29"/>
      <c r="H2" s="29"/>
      <c r="I2" s="29" t="s">
        <v>87</v>
      </c>
      <c r="J2" s="29"/>
    </row>
    <row r="3" spans="1:10" x14ac:dyDescent="0.5">
      <c r="A3" s="8"/>
      <c r="B3" s="8"/>
      <c r="C3" s="12" t="s">
        <v>0</v>
      </c>
      <c r="D3" s="12" t="s">
        <v>84</v>
      </c>
      <c r="E3" s="12" t="s">
        <v>26</v>
      </c>
      <c r="F3" s="12" t="s">
        <v>0</v>
      </c>
      <c r="G3" s="12" t="s">
        <v>84</v>
      </c>
      <c r="H3" s="12" t="s">
        <v>26</v>
      </c>
      <c r="I3" s="12" t="s">
        <v>88</v>
      </c>
      <c r="J3" s="12" t="s">
        <v>85</v>
      </c>
    </row>
    <row r="4" spans="1:10" x14ac:dyDescent="0.5">
      <c r="A4" s="14" t="s">
        <v>12</v>
      </c>
      <c r="B4" s="9"/>
      <c r="C4" s="10">
        <v>63</v>
      </c>
      <c r="D4" s="15">
        <v>42.25</v>
      </c>
      <c r="E4" s="10">
        <v>10.8</v>
      </c>
      <c r="F4" s="10">
        <v>27</v>
      </c>
      <c r="G4" s="15">
        <v>36.81</v>
      </c>
      <c r="H4" s="15">
        <v>9.82</v>
      </c>
      <c r="I4" s="10">
        <v>2.34</v>
      </c>
      <c r="J4" s="16">
        <v>2.3E-2</v>
      </c>
    </row>
    <row r="5" spans="1:10" x14ac:dyDescent="0.5">
      <c r="A5" s="25" t="s">
        <v>11</v>
      </c>
      <c r="B5" s="9" t="s">
        <v>5</v>
      </c>
      <c r="C5" s="10">
        <v>31</v>
      </c>
      <c r="D5" s="15">
        <v>49.21</v>
      </c>
      <c r="E5" s="10"/>
      <c r="F5" s="10">
        <v>15</v>
      </c>
      <c r="G5" s="15">
        <v>55.56</v>
      </c>
      <c r="H5" s="10"/>
      <c r="I5" s="25">
        <v>0.67</v>
      </c>
      <c r="J5" s="26">
        <v>0.71630000000000005</v>
      </c>
    </row>
    <row r="6" spans="1:10" x14ac:dyDescent="0.5">
      <c r="A6" s="25"/>
      <c r="B6" s="9" t="s">
        <v>6</v>
      </c>
      <c r="C6" s="10">
        <v>31</v>
      </c>
      <c r="D6" s="15">
        <v>49.21</v>
      </c>
      <c r="E6" s="10"/>
      <c r="F6" s="10">
        <v>12</v>
      </c>
      <c r="G6" s="15">
        <v>44.44</v>
      </c>
      <c r="H6" s="10"/>
      <c r="I6" s="25"/>
      <c r="J6" s="26"/>
    </row>
    <row r="7" spans="1:10" x14ac:dyDescent="0.5">
      <c r="A7" s="25"/>
      <c r="B7" s="9" t="s">
        <v>7</v>
      </c>
      <c r="C7" s="10">
        <v>1</v>
      </c>
      <c r="D7" s="15">
        <v>1.59</v>
      </c>
      <c r="E7" s="10"/>
      <c r="F7" s="10"/>
      <c r="G7" s="15"/>
      <c r="H7" s="10"/>
      <c r="I7" s="25"/>
      <c r="J7" s="26"/>
    </row>
    <row r="8" spans="1:10" x14ac:dyDescent="0.5">
      <c r="A8" s="25" t="s">
        <v>13</v>
      </c>
      <c r="B8" s="9" t="s">
        <v>8</v>
      </c>
      <c r="C8" s="10">
        <v>31</v>
      </c>
      <c r="D8" s="15">
        <v>49.21</v>
      </c>
      <c r="E8" s="10"/>
      <c r="F8" s="10">
        <v>11</v>
      </c>
      <c r="G8" s="15">
        <v>40.74</v>
      </c>
      <c r="H8" s="10"/>
      <c r="I8" s="25">
        <v>7.44</v>
      </c>
      <c r="J8" s="26">
        <v>5.9200000000000003E-2</v>
      </c>
    </row>
    <row r="9" spans="1:10" x14ac:dyDescent="0.5">
      <c r="A9" s="25"/>
      <c r="B9" s="9" t="s">
        <v>9</v>
      </c>
      <c r="C9" s="10">
        <v>27</v>
      </c>
      <c r="D9" s="15">
        <v>42.86</v>
      </c>
      <c r="E9" s="10"/>
      <c r="F9" s="10">
        <v>8</v>
      </c>
      <c r="G9" s="15">
        <v>29.63</v>
      </c>
      <c r="H9" s="10"/>
      <c r="I9" s="25"/>
      <c r="J9" s="26"/>
    </row>
    <row r="10" spans="1:10" x14ac:dyDescent="0.5">
      <c r="A10" s="25"/>
      <c r="B10" s="9" t="s">
        <v>27</v>
      </c>
      <c r="C10" s="10">
        <v>3</v>
      </c>
      <c r="D10" s="15">
        <v>4.76</v>
      </c>
      <c r="E10" s="10"/>
      <c r="F10" s="10">
        <v>4</v>
      </c>
      <c r="G10" s="15">
        <v>14.81</v>
      </c>
      <c r="H10" s="10"/>
      <c r="I10" s="25"/>
      <c r="J10" s="26"/>
    </row>
    <row r="11" spans="1:10" x14ac:dyDescent="0.5">
      <c r="A11" s="25"/>
      <c r="B11" s="9" t="s">
        <v>10</v>
      </c>
      <c r="C11" s="10">
        <v>2</v>
      </c>
      <c r="D11" s="15">
        <v>3.17</v>
      </c>
      <c r="E11" s="10"/>
      <c r="F11" s="10">
        <v>4</v>
      </c>
      <c r="G11" s="15">
        <v>14.81</v>
      </c>
      <c r="H11" s="10"/>
      <c r="I11" s="25"/>
      <c r="J11" s="26"/>
    </row>
    <row r="12" spans="1:10" x14ac:dyDescent="0.5">
      <c r="A12" s="27" t="s">
        <v>22</v>
      </c>
      <c r="B12" s="9" t="s">
        <v>20</v>
      </c>
      <c r="C12" s="10">
        <v>61</v>
      </c>
      <c r="D12" s="15">
        <v>14.93</v>
      </c>
      <c r="E12" s="15">
        <v>2.69</v>
      </c>
      <c r="F12" s="10">
        <v>26</v>
      </c>
      <c r="G12" s="15">
        <v>15.19</v>
      </c>
      <c r="H12" s="15">
        <v>3.86</v>
      </c>
      <c r="I12" s="10">
        <v>-0.31</v>
      </c>
      <c r="J12" s="16">
        <v>0.75819999999999999</v>
      </c>
    </row>
    <row r="13" spans="1:10" x14ac:dyDescent="0.5">
      <c r="A13" s="27"/>
      <c r="B13" s="9" t="s">
        <v>21</v>
      </c>
      <c r="C13" s="10">
        <v>63</v>
      </c>
      <c r="D13" s="15">
        <v>13.74</v>
      </c>
      <c r="E13" s="15">
        <v>3.33</v>
      </c>
      <c r="F13" s="10">
        <v>27</v>
      </c>
      <c r="G13" s="15">
        <v>15.78</v>
      </c>
      <c r="H13" s="15">
        <v>3.26</v>
      </c>
      <c r="I13" s="15">
        <v>-2.7</v>
      </c>
      <c r="J13" s="16">
        <v>9.4000000000000004E-3</v>
      </c>
    </row>
    <row r="14" spans="1:10" x14ac:dyDescent="0.5">
      <c r="A14" s="25" t="s">
        <v>14</v>
      </c>
      <c r="B14" s="9" t="s">
        <v>3</v>
      </c>
      <c r="C14" s="10">
        <v>62</v>
      </c>
      <c r="D14" s="15">
        <v>44</v>
      </c>
      <c r="E14" s="15">
        <v>10.97</v>
      </c>
      <c r="F14" s="10"/>
      <c r="G14" s="10"/>
      <c r="H14" s="10"/>
      <c r="I14" s="10"/>
      <c r="J14" s="16"/>
    </row>
    <row r="15" spans="1:10" x14ac:dyDescent="0.5">
      <c r="A15" s="25"/>
      <c r="B15" s="9" t="s">
        <v>15</v>
      </c>
      <c r="C15" s="10">
        <v>63</v>
      </c>
      <c r="D15" s="15">
        <v>10.92</v>
      </c>
      <c r="E15" s="15">
        <v>5.7</v>
      </c>
      <c r="F15" s="10"/>
      <c r="G15" s="10"/>
      <c r="H15" s="10"/>
      <c r="I15" s="10"/>
      <c r="J15" s="16"/>
    </row>
    <row r="16" spans="1:10" x14ac:dyDescent="0.5">
      <c r="A16" s="25"/>
      <c r="B16" s="9" t="s">
        <v>16</v>
      </c>
      <c r="C16" s="10">
        <v>63</v>
      </c>
      <c r="D16" s="15">
        <v>5.78</v>
      </c>
      <c r="E16" s="15">
        <v>2.89</v>
      </c>
      <c r="F16" s="10"/>
      <c r="G16" s="10"/>
      <c r="H16" s="10"/>
      <c r="I16" s="10"/>
      <c r="J16" s="16"/>
    </row>
    <row r="17" spans="1:10" x14ac:dyDescent="0.5">
      <c r="A17" s="25"/>
      <c r="B17" s="9" t="s">
        <v>17</v>
      </c>
      <c r="C17" s="10">
        <v>63</v>
      </c>
      <c r="D17" s="15">
        <v>5.13</v>
      </c>
      <c r="E17" s="15">
        <v>1.65</v>
      </c>
      <c r="F17" s="10"/>
      <c r="G17" s="10"/>
      <c r="H17" s="10"/>
      <c r="I17" s="10"/>
      <c r="J17" s="16"/>
    </row>
    <row r="18" spans="1:10" x14ac:dyDescent="0.5">
      <c r="A18" s="25"/>
      <c r="B18" s="9" t="s">
        <v>18</v>
      </c>
      <c r="C18" s="10">
        <v>63</v>
      </c>
      <c r="D18" s="15">
        <v>5.68</v>
      </c>
      <c r="E18" s="15">
        <v>2.75</v>
      </c>
      <c r="F18" s="10"/>
      <c r="G18" s="10"/>
      <c r="H18" s="10"/>
      <c r="I18" s="10"/>
      <c r="J18" s="16"/>
    </row>
    <row r="19" spans="1:10" x14ac:dyDescent="0.5">
      <c r="A19" s="25"/>
      <c r="B19" s="9" t="s">
        <v>19</v>
      </c>
      <c r="C19" s="10">
        <v>63</v>
      </c>
      <c r="D19" s="15">
        <v>4.84</v>
      </c>
      <c r="E19" s="15">
        <v>1.42</v>
      </c>
      <c r="F19" s="10"/>
      <c r="G19" s="10"/>
      <c r="H19" s="10"/>
      <c r="I19" s="10"/>
      <c r="J19" s="16"/>
    </row>
    <row r="20" spans="1:10" x14ac:dyDescent="0.5">
      <c r="A20" s="27" t="s">
        <v>78</v>
      </c>
      <c r="B20" s="9" t="s">
        <v>79</v>
      </c>
      <c r="C20" s="10">
        <v>63</v>
      </c>
      <c r="D20" s="15">
        <v>0.87848324514991205</v>
      </c>
      <c r="E20" s="15">
        <v>0.12827739344463099</v>
      </c>
      <c r="F20" s="10">
        <v>27</v>
      </c>
      <c r="G20" s="15">
        <v>0.85514403292181096</v>
      </c>
      <c r="H20" s="15">
        <v>0.121890828174955</v>
      </c>
      <c r="I20" s="15">
        <v>0.82</v>
      </c>
      <c r="J20" s="16">
        <v>0.41639999999999999</v>
      </c>
    </row>
    <row r="21" spans="1:10" x14ac:dyDescent="0.5">
      <c r="A21" s="27"/>
      <c r="B21" s="9" t="s">
        <v>80</v>
      </c>
      <c r="C21" s="10">
        <v>63</v>
      </c>
      <c r="D21" s="15">
        <v>0.86137566137566102</v>
      </c>
      <c r="E21" s="15">
        <v>0.136664730919315</v>
      </c>
      <c r="F21" s="10">
        <v>27</v>
      </c>
      <c r="G21" s="15">
        <v>0.83374485596707804</v>
      </c>
      <c r="H21" s="15">
        <v>0.122396204121288</v>
      </c>
      <c r="I21" s="15">
        <v>0.95</v>
      </c>
      <c r="J21" s="16">
        <v>0.3478</v>
      </c>
    </row>
    <row r="22" spans="1:10" x14ac:dyDescent="0.5">
      <c r="A22" s="27"/>
      <c r="B22" s="9" t="s">
        <v>81</v>
      </c>
      <c r="C22" s="10">
        <v>63</v>
      </c>
      <c r="D22" s="15">
        <v>0.51781305114638398</v>
      </c>
      <c r="E22" s="15">
        <v>0.15106867001695501</v>
      </c>
      <c r="F22" s="10">
        <v>27</v>
      </c>
      <c r="G22" s="15">
        <v>0.44650205761316902</v>
      </c>
      <c r="H22" s="15">
        <v>0.14907237822939901</v>
      </c>
      <c r="I22" s="15">
        <v>2.0699999999999998</v>
      </c>
      <c r="J22" s="16">
        <v>4.3529999999999999E-2</v>
      </c>
    </row>
    <row r="23" spans="1:10" x14ac:dyDescent="0.5">
      <c r="A23" s="27"/>
      <c r="B23" s="9" t="s">
        <v>82</v>
      </c>
      <c r="C23" s="10">
        <v>63</v>
      </c>
      <c r="D23" s="15">
        <v>0.57336860670194001</v>
      </c>
      <c r="E23" s="15">
        <v>0.15097637471136499</v>
      </c>
      <c r="F23" s="10">
        <v>27</v>
      </c>
      <c r="G23" s="15">
        <v>0.51646090534979405</v>
      </c>
      <c r="H23" s="15">
        <v>0.164872691695608</v>
      </c>
      <c r="I23" s="15">
        <v>1.54</v>
      </c>
      <c r="J23" s="16">
        <v>0.13089999999999999</v>
      </c>
    </row>
    <row r="24" spans="1:10" x14ac:dyDescent="0.5">
      <c r="A24" s="25" t="s">
        <v>77</v>
      </c>
      <c r="B24" s="9" t="s">
        <v>28</v>
      </c>
      <c r="C24" s="10">
        <v>63</v>
      </c>
      <c r="D24" s="15">
        <v>3.02</v>
      </c>
      <c r="E24" s="15">
        <v>1.2</v>
      </c>
      <c r="F24" s="10">
        <v>27</v>
      </c>
      <c r="G24" s="15">
        <v>2.81</v>
      </c>
      <c r="H24" s="15">
        <v>1.1100000000000001</v>
      </c>
      <c r="I24" s="10">
        <v>0.83</v>
      </c>
      <c r="J24" s="16">
        <v>0.40920000000000001</v>
      </c>
    </row>
    <row r="25" spans="1:10" x14ac:dyDescent="0.5">
      <c r="A25" s="25"/>
      <c r="B25" s="9" t="s">
        <v>29</v>
      </c>
      <c r="C25" s="10">
        <v>63</v>
      </c>
      <c r="D25" s="15">
        <v>3.02</v>
      </c>
      <c r="E25" s="15">
        <v>1.24</v>
      </c>
      <c r="F25" s="10">
        <v>27</v>
      </c>
      <c r="G25" s="15">
        <v>2.68</v>
      </c>
      <c r="H25" s="15">
        <v>1.1399999999999999</v>
      </c>
      <c r="I25" s="10">
        <v>1.27</v>
      </c>
      <c r="J25" s="16">
        <v>0.21</v>
      </c>
    </row>
    <row r="26" spans="1:10" x14ac:dyDescent="0.5">
      <c r="A26" s="25"/>
      <c r="B26" s="9" t="s">
        <v>30</v>
      </c>
      <c r="C26" s="10">
        <v>63</v>
      </c>
      <c r="D26" s="15">
        <v>-0.14000000000000001</v>
      </c>
      <c r="E26" s="15">
        <v>0.71</v>
      </c>
      <c r="F26" s="10">
        <v>27</v>
      </c>
      <c r="G26" s="15">
        <v>0.22</v>
      </c>
      <c r="H26" s="15">
        <v>0.67</v>
      </c>
      <c r="I26" s="15">
        <v>-2.2999999999999998</v>
      </c>
      <c r="J26" s="16">
        <v>2.5700000000000001E-2</v>
      </c>
    </row>
    <row r="27" spans="1:10" x14ac:dyDescent="0.5">
      <c r="A27" s="25"/>
      <c r="B27" s="9" t="s">
        <v>31</v>
      </c>
      <c r="C27" s="10">
        <v>63</v>
      </c>
      <c r="D27" s="15">
        <v>-0.34</v>
      </c>
      <c r="E27" s="15">
        <v>0.66</v>
      </c>
      <c r="F27" s="10">
        <v>27</v>
      </c>
      <c r="G27" s="15">
        <v>-0.11</v>
      </c>
      <c r="H27" s="15">
        <v>0.73</v>
      </c>
      <c r="I27" s="15">
        <v>-1.4</v>
      </c>
      <c r="J27" s="16">
        <v>0.16700000000000001</v>
      </c>
    </row>
    <row r="28" spans="1:10" x14ac:dyDescent="0.5">
      <c r="A28" s="25"/>
      <c r="B28" s="9" t="s">
        <v>38</v>
      </c>
      <c r="C28" s="10">
        <v>63</v>
      </c>
      <c r="D28" s="15">
        <v>0.14000000000000001</v>
      </c>
      <c r="E28" s="15">
        <v>0.19</v>
      </c>
      <c r="F28" s="10">
        <v>27</v>
      </c>
      <c r="G28" s="15">
        <v>0.1</v>
      </c>
      <c r="H28" s="15">
        <v>0.12</v>
      </c>
      <c r="I28" s="10">
        <v>1.39</v>
      </c>
      <c r="J28" s="16">
        <v>0.16819999999999999</v>
      </c>
    </row>
    <row r="29" spans="1:10" x14ac:dyDescent="0.5">
      <c r="A29" s="25"/>
      <c r="B29" s="9" t="s">
        <v>37</v>
      </c>
      <c r="C29" s="10">
        <v>63</v>
      </c>
      <c r="D29" s="15">
        <v>0.21</v>
      </c>
      <c r="E29" s="15">
        <v>0.25</v>
      </c>
      <c r="F29" s="10">
        <v>27</v>
      </c>
      <c r="G29" s="15">
        <v>0.19</v>
      </c>
      <c r="H29" s="15">
        <v>0.19</v>
      </c>
      <c r="I29" s="10">
        <v>0.61</v>
      </c>
      <c r="J29" s="16">
        <v>0.54579999999999995</v>
      </c>
    </row>
    <row r="30" spans="1:10" x14ac:dyDescent="0.5">
      <c r="A30" s="25"/>
      <c r="B30" s="9" t="s">
        <v>35</v>
      </c>
      <c r="C30" s="10">
        <v>63</v>
      </c>
      <c r="D30" s="15">
        <v>0.89</v>
      </c>
      <c r="E30" s="15">
        <v>0.2</v>
      </c>
      <c r="F30" s="10">
        <v>27</v>
      </c>
      <c r="G30" s="15">
        <v>0.8</v>
      </c>
      <c r="H30" s="15">
        <v>0.24</v>
      </c>
      <c r="I30" s="10">
        <v>1.78</v>
      </c>
      <c r="J30" s="16">
        <v>8.1699999999999995E-2</v>
      </c>
    </row>
    <row r="31" spans="1:10" x14ac:dyDescent="0.5">
      <c r="A31" s="25"/>
      <c r="B31" s="9" t="s">
        <v>36</v>
      </c>
      <c r="C31" s="10">
        <v>63</v>
      </c>
      <c r="D31" s="15">
        <v>0.93</v>
      </c>
      <c r="E31" s="15">
        <v>0.13</v>
      </c>
      <c r="F31" s="10">
        <v>27</v>
      </c>
      <c r="G31" s="15">
        <v>0.85</v>
      </c>
      <c r="H31" s="15">
        <v>0.21</v>
      </c>
      <c r="I31" s="10">
        <v>1.89</v>
      </c>
      <c r="J31" s="16">
        <v>6.7699999999999996E-2</v>
      </c>
    </row>
    <row r="32" spans="1:10" x14ac:dyDescent="0.5">
      <c r="A32" s="25"/>
      <c r="B32" s="9" t="s">
        <v>123</v>
      </c>
      <c r="C32" s="10">
        <v>63</v>
      </c>
      <c r="D32" s="15">
        <v>0.108112874779541</v>
      </c>
      <c r="E32" s="15">
        <v>0.19509319678789599</v>
      </c>
      <c r="F32" s="10">
        <v>27</v>
      </c>
      <c r="G32" s="15">
        <v>0.20123456790123401</v>
      </c>
      <c r="H32" s="15">
        <v>0.23920835989333999</v>
      </c>
      <c r="I32" s="10">
        <v>-1.78</v>
      </c>
      <c r="J32" s="16">
        <v>8.1699999999999995E-2</v>
      </c>
    </row>
    <row r="33" spans="1:11" x14ac:dyDescent="0.5">
      <c r="A33" s="25"/>
      <c r="B33" s="9" t="s">
        <v>124</v>
      </c>
      <c r="C33" s="10">
        <v>63</v>
      </c>
      <c r="D33" s="15">
        <v>7.1957671957671804E-2</v>
      </c>
      <c r="E33" s="15">
        <v>0.12945151491845899</v>
      </c>
      <c r="F33" s="10">
        <v>27</v>
      </c>
      <c r="G33" s="15">
        <v>0.15432098765432101</v>
      </c>
      <c r="H33" s="15">
        <v>0.210487909060629</v>
      </c>
      <c r="I33" s="10">
        <v>-1.89</v>
      </c>
      <c r="J33" s="16">
        <v>6.7699999999999996E-2</v>
      </c>
    </row>
    <row r="34" spans="1:11" ht="14.35" customHeight="1" x14ac:dyDescent="0.5">
      <c r="A34" s="23" t="s">
        <v>83</v>
      </c>
      <c r="B34" s="23"/>
      <c r="C34" s="23"/>
      <c r="D34" s="23"/>
      <c r="E34" s="23"/>
      <c r="F34" s="23"/>
      <c r="G34" s="23"/>
      <c r="H34" s="23"/>
      <c r="I34" s="23"/>
      <c r="J34" s="23"/>
    </row>
    <row r="35" spans="1:11" x14ac:dyDescent="0.5">
      <c r="A35" s="24"/>
      <c r="B35" s="24"/>
      <c r="C35" s="24"/>
      <c r="D35" s="24"/>
      <c r="E35" s="24"/>
      <c r="F35" s="24"/>
      <c r="G35" s="24"/>
      <c r="H35" s="24"/>
      <c r="I35" s="24"/>
      <c r="J35" s="24"/>
    </row>
    <row r="36" spans="1:11" x14ac:dyDescent="0.5">
      <c r="A36" s="24"/>
      <c r="B36" s="24"/>
      <c r="C36" s="24"/>
      <c r="D36" s="24"/>
      <c r="E36" s="24"/>
      <c r="F36" s="24"/>
      <c r="G36" s="24"/>
      <c r="H36" s="24"/>
      <c r="I36" s="24"/>
      <c r="J36" s="24"/>
    </row>
    <row r="39" spans="1:11" x14ac:dyDescent="0.5">
      <c r="D39" s="6"/>
      <c r="E39" s="6"/>
      <c r="G39" s="6"/>
      <c r="H39" s="6"/>
    </row>
    <row r="40" spans="1:11" x14ac:dyDescent="0.5">
      <c r="D40" s="6"/>
      <c r="E40" s="6"/>
      <c r="G40" s="6"/>
      <c r="H40" s="6"/>
    </row>
    <row r="41" spans="1:11" x14ac:dyDescent="0.5">
      <c r="J41" s="6"/>
      <c r="K41" s="6"/>
    </row>
    <row r="42" spans="1:11" x14ac:dyDescent="0.5">
      <c r="J42" s="6"/>
      <c r="K42" s="6"/>
    </row>
  </sheetData>
  <mergeCells count="15">
    <mergeCell ref="A1:J1"/>
    <mergeCell ref="C2:E2"/>
    <mergeCell ref="F2:H2"/>
    <mergeCell ref="A5:A7"/>
    <mergeCell ref="A8:A11"/>
    <mergeCell ref="I2:J2"/>
    <mergeCell ref="A34:J36"/>
    <mergeCell ref="I5:I7"/>
    <mergeCell ref="J5:J7"/>
    <mergeCell ref="J8:J11"/>
    <mergeCell ref="I8:I11"/>
    <mergeCell ref="A12:A13"/>
    <mergeCell ref="A14:A19"/>
    <mergeCell ref="A20:A23"/>
    <mergeCell ref="A24:A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1547-62F3-40D5-901D-65EF20DF74C5}">
  <dimension ref="A1:R66"/>
  <sheetViews>
    <sheetView workbookViewId="0">
      <selection activeCell="L48" sqref="L48"/>
    </sheetView>
  </sheetViews>
  <sheetFormatPr defaultRowHeight="14.35" x14ac:dyDescent="0.5"/>
  <cols>
    <col min="1" max="1" width="17.5859375" customWidth="1"/>
    <col min="2" max="2" width="18.234375" customWidth="1"/>
    <col min="3" max="6" width="12.8203125" customWidth="1"/>
    <col min="15" max="15" width="15.8203125" customWidth="1"/>
  </cols>
  <sheetData>
    <row r="1" spans="1:6" x14ac:dyDescent="0.5">
      <c r="A1" s="30" t="s">
        <v>113</v>
      </c>
      <c r="B1" s="30"/>
      <c r="C1" s="30"/>
      <c r="D1" s="30"/>
      <c r="E1" s="30"/>
      <c r="F1" s="30"/>
    </row>
    <row r="2" spans="1:6" x14ac:dyDescent="0.5">
      <c r="A2" s="7"/>
      <c r="B2" s="7"/>
      <c r="C2" s="29" t="s">
        <v>114</v>
      </c>
      <c r="D2" s="29"/>
      <c r="E2" s="29"/>
      <c r="F2" s="29"/>
    </row>
    <row r="3" spans="1:6" x14ac:dyDescent="0.5">
      <c r="A3" s="9"/>
      <c r="B3" s="8"/>
      <c r="C3" s="12" t="s">
        <v>112</v>
      </c>
      <c r="D3" s="12" t="s">
        <v>16</v>
      </c>
      <c r="E3" s="12" t="s">
        <v>15</v>
      </c>
      <c r="F3" s="12" t="s">
        <v>3</v>
      </c>
    </row>
    <row r="4" spans="1:6" ht="14.35" customHeight="1" x14ac:dyDescent="0.5">
      <c r="A4" s="32" t="s">
        <v>118</v>
      </c>
      <c r="B4" s="9" t="s">
        <v>116</v>
      </c>
      <c r="C4" s="10" t="str">
        <f>_xlfn.CONCAT(ROUND(C19,2), IF(H19&lt;0.05,"*",""))</f>
        <v>-0.3*</v>
      </c>
      <c r="D4" s="10" t="str">
        <f t="shared" ref="D4:F4" si="0">_xlfn.CONCAT(ROUND(D19,2), IF(I19&lt;0.05,"*",""))</f>
        <v>-0.03</v>
      </c>
      <c r="E4" s="11" t="str">
        <f>_xlfn.CONCAT(ROUND(E19,2), IF(J19&lt;0.05,"*",""))</f>
        <v>-0.39*</v>
      </c>
      <c r="F4" s="11" t="str">
        <f t="shared" si="0"/>
        <v>-0.37*</v>
      </c>
    </row>
    <row r="5" spans="1:6" x14ac:dyDescent="0.5">
      <c r="A5" s="27"/>
      <c r="B5" s="9" t="s">
        <v>115</v>
      </c>
      <c r="C5" s="10" t="str">
        <f t="shared" ref="C5:F5" si="1">_xlfn.CONCAT(ROUND(C20,2), IF(H20&lt;0.05,"*",""))</f>
        <v>0.14</v>
      </c>
      <c r="D5" s="10" t="str">
        <f t="shared" si="1"/>
        <v>-0.08</v>
      </c>
      <c r="E5" s="10" t="str">
        <f t="shared" si="1"/>
        <v>0.18</v>
      </c>
      <c r="F5" s="10" t="str">
        <f t="shared" si="1"/>
        <v>0.31*</v>
      </c>
    </row>
    <row r="6" spans="1:6" x14ac:dyDescent="0.5">
      <c r="A6" s="27"/>
      <c r="B6" s="9" t="s">
        <v>117</v>
      </c>
      <c r="C6" s="10" t="str">
        <f t="shared" ref="C6:F6" si="2">_xlfn.CONCAT(ROUND(C21,2), IF(H21&lt;0.05,"*",""))</f>
        <v>0.12</v>
      </c>
      <c r="D6" s="10" t="str">
        <f t="shared" si="2"/>
        <v>0.1</v>
      </c>
      <c r="E6" s="10" t="str">
        <f t="shared" si="2"/>
        <v>0.14</v>
      </c>
      <c r="F6" s="10" t="str">
        <f t="shared" si="2"/>
        <v>0</v>
      </c>
    </row>
    <row r="7" spans="1:6" x14ac:dyDescent="0.5">
      <c r="A7" s="27"/>
      <c r="B7" s="9" t="s">
        <v>107</v>
      </c>
      <c r="C7" s="10" t="str">
        <f t="shared" ref="C7:F7" si="3">_xlfn.CONCAT(ROUND(C22,2), IF(H22&lt;0.05,"*",""))</f>
        <v>-0.3*</v>
      </c>
      <c r="D7" s="10" t="str">
        <f t="shared" si="3"/>
        <v>-0.08</v>
      </c>
      <c r="E7" s="11" t="str">
        <f>_xlfn.CONCAT(ROUND(E22,2), IF(J22&lt;0.05,"*",""))</f>
        <v>-0.36*</v>
      </c>
      <c r="F7" s="10" t="str">
        <f t="shared" si="3"/>
        <v>-0.24</v>
      </c>
    </row>
    <row r="8" spans="1:6" x14ac:dyDescent="0.5">
      <c r="A8" s="27" t="s">
        <v>119</v>
      </c>
      <c r="B8" s="9" t="s">
        <v>116</v>
      </c>
      <c r="C8" s="10" t="str">
        <f t="shared" ref="C8:F11" si="4">_xlfn.CONCAT(ROUND(C26,2), IF(H26&lt;0.05,"*",""))</f>
        <v>0.1</v>
      </c>
      <c r="D8" s="10" t="str">
        <f t="shared" si="4"/>
        <v>0.06</v>
      </c>
      <c r="E8" s="10" t="str">
        <f t="shared" si="4"/>
        <v>0.15</v>
      </c>
      <c r="F8" s="10" t="str">
        <f t="shared" si="4"/>
        <v>0.08</v>
      </c>
    </row>
    <row r="9" spans="1:6" x14ac:dyDescent="0.5">
      <c r="A9" s="27"/>
      <c r="B9" s="9" t="s">
        <v>115</v>
      </c>
      <c r="C9" s="10" t="str">
        <f t="shared" si="4"/>
        <v>0.08</v>
      </c>
      <c r="D9" s="10" t="str">
        <f t="shared" si="4"/>
        <v>-0.04</v>
      </c>
      <c r="E9" s="10" t="str">
        <f t="shared" si="4"/>
        <v>0.04</v>
      </c>
      <c r="F9" s="10" t="str">
        <f t="shared" si="4"/>
        <v>0.07</v>
      </c>
    </row>
    <row r="10" spans="1:6" x14ac:dyDescent="0.5">
      <c r="A10" s="27"/>
      <c r="B10" s="9" t="s">
        <v>117</v>
      </c>
      <c r="C10" s="10" t="str">
        <f t="shared" si="4"/>
        <v>-0.21</v>
      </c>
      <c r="D10" s="10" t="str">
        <f t="shared" si="4"/>
        <v>-0.05</v>
      </c>
      <c r="E10" s="10" t="str">
        <f t="shared" si="4"/>
        <v>-0.13</v>
      </c>
      <c r="F10" s="10" t="str">
        <f t="shared" si="4"/>
        <v>-0.09</v>
      </c>
    </row>
    <row r="11" spans="1:6" x14ac:dyDescent="0.5">
      <c r="A11" s="31"/>
      <c r="B11" s="8" t="s">
        <v>107</v>
      </c>
      <c r="C11" s="12" t="str">
        <f t="shared" si="4"/>
        <v>0.29*</v>
      </c>
      <c r="D11" s="12" t="str">
        <f t="shared" si="4"/>
        <v>0.04</v>
      </c>
      <c r="E11" s="17" t="str">
        <f t="shared" si="4"/>
        <v>0.32*</v>
      </c>
      <c r="F11" s="12" t="str">
        <f t="shared" si="4"/>
        <v>0.2</v>
      </c>
    </row>
    <row r="12" spans="1:6" ht="14.35" customHeight="1" x14ac:dyDescent="0.5">
      <c r="A12" s="24" t="s">
        <v>120</v>
      </c>
      <c r="B12" s="24"/>
      <c r="C12" s="24"/>
      <c r="D12" s="24"/>
      <c r="E12" s="24"/>
      <c r="F12" s="24"/>
    </row>
    <row r="13" spans="1:6" x14ac:dyDescent="0.5">
      <c r="A13" s="24"/>
      <c r="B13" s="24"/>
      <c r="C13" s="24"/>
      <c r="D13" s="24"/>
      <c r="E13" s="24"/>
      <c r="F13" s="24"/>
    </row>
    <row r="14" spans="1:6" x14ac:dyDescent="0.5">
      <c r="A14" s="24"/>
      <c r="B14" s="24"/>
      <c r="C14" s="24"/>
      <c r="D14" s="24"/>
      <c r="E14" s="24"/>
      <c r="F14" s="24"/>
    </row>
    <row r="17" spans="2:18" x14ac:dyDescent="0.5">
      <c r="J17">
        <f>0.05/4</f>
        <v>1.2500000000000001E-2</v>
      </c>
    </row>
    <row r="18" spans="2:18" x14ac:dyDescent="0.5">
      <c r="O18" t="s">
        <v>93</v>
      </c>
      <c r="P18" t="s">
        <v>94</v>
      </c>
      <c r="Q18" t="s">
        <v>95</v>
      </c>
      <c r="R18" t="s">
        <v>96</v>
      </c>
    </row>
    <row r="19" spans="2:18" x14ac:dyDescent="0.5">
      <c r="B19" t="s">
        <v>28</v>
      </c>
      <c r="C19" s="6">
        <v>-0.30293930051184398</v>
      </c>
      <c r="D19" s="6">
        <v>-2.5172881505345902E-2</v>
      </c>
      <c r="E19" s="6">
        <v>-0.386115862854571</v>
      </c>
      <c r="F19" s="6">
        <v>-0.369668549909422</v>
      </c>
      <c r="G19" s="5"/>
      <c r="H19" s="4">
        <v>1.5806084554751899E-2</v>
      </c>
      <c r="I19" s="4">
        <v>0.84474050239457998</v>
      </c>
      <c r="J19" s="4">
        <v>1.7750256865924699E-3</v>
      </c>
      <c r="K19" s="4">
        <v>3.1059170632839399E-3</v>
      </c>
      <c r="O19" t="s">
        <v>100</v>
      </c>
      <c r="P19" t="s">
        <v>98</v>
      </c>
      <c r="Q19">
        <v>-0.20509527326024499</v>
      </c>
      <c r="R19">
        <v>0.10685590013358499</v>
      </c>
    </row>
    <row r="20" spans="2:18" x14ac:dyDescent="0.5">
      <c r="B20" t="s">
        <v>38</v>
      </c>
      <c r="C20" s="6">
        <v>0.142596357761515</v>
      </c>
      <c r="D20" s="6">
        <v>-7.7489341151181196E-2</v>
      </c>
      <c r="E20" s="6">
        <v>0.18052077987305101</v>
      </c>
      <c r="F20" s="6">
        <v>0.30558498636876003</v>
      </c>
      <c r="G20" s="5"/>
      <c r="H20" s="4">
        <v>0.26490721367484599</v>
      </c>
      <c r="I20" s="4">
        <v>0.54607974253432401</v>
      </c>
      <c r="J20" s="4">
        <v>0.15683166168079199</v>
      </c>
      <c r="K20" s="4">
        <v>1.5722501248514799E-2</v>
      </c>
      <c r="O20" t="s">
        <v>100</v>
      </c>
      <c r="P20" t="s">
        <v>57</v>
      </c>
      <c r="Q20">
        <v>-5.1424410101655597E-2</v>
      </c>
      <c r="R20">
        <v>0.68896498434232001</v>
      </c>
    </row>
    <row r="21" spans="2:18" x14ac:dyDescent="0.5">
      <c r="B21" t="s">
        <v>105</v>
      </c>
      <c r="C21" s="6">
        <v>0.117481270199604</v>
      </c>
      <c r="D21" s="6">
        <v>0.10482580929853701</v>
      </c>
      <c r="E21" s="6">
        <v>0.14141729686757801</v>
      </c>
      <c r="F21" s="6">
        <v>3.1447758961403098E-3</v>
      </c>
      <c r="G21" s="5"/>
      <c r="H21" s="4">
        <v>0.35914962837023201</v>
      </c>
      <c r="I21" s="4">
        <v>0.41357202490741402</v>
      </c>
      <c r="J21" s="4">
        <v>0.26891921774113797</v>
      </c>
      <c r="K21" s="4">
        <v>0.98064672823167498</v>
      </c>
      <c r="O21" t="s">
        <v>100</v>
      </c>
      <c r="P21" t="s">
        <v>56</v>
      </c>
      <c r="Q21">
        <v>-0.128290629142949</v>
      </c>
      <c r="R21">
        <v>0.31632784671902903</v>
      </c>
    </row>
    <row r="22" spans="2:18" x14ac:dyDescent="0.5">
      <c r="B22" t="s">
        <v>35</v>
      </c>
      <c r="C22" s="6">
        <v>-0.29820321905442798</v>
      </c>
      <c r="D22" s="6">
        <v>-7.6868116010374396E-2</v>
      </c>
      <c r="E22" s="6">
        <v>-0.36342982131858997</v>
      </c>
      <c r="F22" s="6">
        <v>-0.23984115804932399</v>
      </c>
      <c r="G22" s="5"/>
      <c r="H22" s="4">
        <v>1.7606020288405699E-2</v>
      </c>
      <c r="I22" s="4">
        <v>0.54931219531738795</v>
      </c>
      <c r="J22" s="4">
        <v>3.4148702327211301E-3</v>
      </c>
      <c r="K22" s="4">
        <v>6.04380159823934E-2</v>
      </c>
      <c r="O22" t="s">
        <v>100</v>
      </c>
      <c r="P22" t="s">
        <v>55</v>
      </c>
      <c r="Q22">
        <v>-8.7381838761198094E-2</v>
      </c>
      <c r="R22">
        <v>0.49946205516290598</v>
      </c>
    </row>
    <row r="23" spans="2:18" x14ac:dyDescent="0.5">
      <c r="B23" t="s">
        <v>79</v>
      </c>
      <c r="C23" s="6">
        <v>-0.28532630815446097</v>
      </c>
      <c r="D23" s="6">
        <v>-2.0290054626432401E-2</v>
      </c>
      <c r="E23" s="6">
        <v>-0.37605161169394302</v>
      </c>
      <c r="F23" s="6">
        <v>-0.37929890074431699</v>
      </c>
      <c r="G23" s="5"/>
      <c r="H23" s="4">
        <v>2.3408547843076E-2</v>
      </c>
      <c r="I23" s="4">
        <v>0.87458402002115498</v>
      </c>
      <c r="J23" s="4">
        <v>2.3864398005407198E-3</v>
      </c>
      <c r="K23" s="4">
        <v>2.3633481920731199E-3</v>
      </c>
      <c r="O23" t="s">
        <v>63</v>
      </c>
      <c r="P23" t="s">
        <v>98</v>
      </c>
      <c r="Q23">
        <v>0.117481270199604</v>
      </c>
      <c r="R23">
        <v>0.35914962837023201</v>
      </c>
    </row>
    <row r="24" spans="2:18" x14ac:dyDescent="0.5">
      <c r="B24" t="s">
        <v>81</v>
      </c>
      <c r="C24" s="6">
        <v>-0.113755041826725</v>
      </c>
      <c r="D24" s="6">
        <v>-9.7217565958956503E-2</v>
      </c>
      <c r="E24" s="6">
        <v>-0.134817735459485</v>
      </c>
      <c r="F24" s="6">
        <v>-1.8297174579646899E-2</v>
      </c>
      <c r="G24" s="5"/>
      <c r="H24" s="4">
        <v>0.37469765454927001</v>
      </c>
      <c r="I24" s="4">
        <v>0.44845904844559398</v>
      </c>
      <c r="J24" s="4">
        <v>0.292124275592063</v>
      </c>
      <c r="K24" s="4">
        <v>0.88774998048555598</v>
      </c>
      <c r="O24" t="s">
        <v>63</v>
      </c>
      <c r="P24" t="s">
        <v>57</v>
      </c>
      <c r="Q24">
        <v>0.10482580929853701</v>
      </c>
      <c r="R24">
        <v>0.41357202490741402</v>
      </c>
    </row>
    <row r="25" spans="2:18" x14ac:dyDescent="0.5">
      <c r="O25" t="s">
        <v>63</v>
      </c>
      <c r="P25" t="s">
        <v>56</v>
      </c>
      <c r="Q25">
        <v>0.14141729686757801</v>
      </c>
      <c r="R25">
        <v>0.26891921774113797</v>
      </c>
    </row>
    <row r="26" spans="2:18" x14ac:dyDescent="0.5">
      <c r="B26" t="s">
        <v>104</v>
      </c>
      <c r="C26" s="6">
        <v>9.8356248615705397E-2</v>
      </c>
      <c r="D26" s="6">
        <v>5.9526733485596998E-2</v>
      </c>
      <c r="E26" s="6">
        <v>0.14906764395856401</v>
      </c>
      <c r="F26" s="6">
        <v>7.6478980761375895E-2</v>
      </c>
      <c r="G26" s="5"/>
      <c r="H26" s="4">
        <v>0.44313638732345501</v>
      </c>
      <c r="I26" s="4">
        <v>0.64305707224403197</v>
      </c>
      <c r="J26" s="4">
        <v>0.243605141117406</v>
      </c>
      <c r="K26" s="4">
        <v>0.55464964976269304</v>
      </c>
      <c r="O26" t="s">
        <v>63</v>
      </c>
      <c r="P26" t="s">
        <v>55</v>
      </c>
      <c r="Q26">
        <v>3.1447758961403098E-3</v>
      </c>
      <c r="R26">
        <v>0.98064672823167498</v>
      </c>
    </row>
    <row r="27" spans="2:18" x14ac:dyDescent="0.5">
      <c r="B27" t="s">
        <v>108</v>
      </c>
      <c r="C27" s="6">
        <v>8.0233609065153602E-2</v>
      </c>
      <c r="D27" s="6">
        <v>-3.6058516713179098E-2</v>
      </c>
      <c r="E27" s="6">
        <v>3.9569476461645901E-2</v>
      </c>
      <c r="F27" s="6">
        <v>6.5033970564660995E-2</v>
      </c>
      <c r="G27" s="5"/>
      <c r="H27" s="4">
        <v>0.53191136585415399</v>
      </c>
      <c r="I27" s="4">
        <v>0.77904361445352999</v>
      </c>
      <c r="J27" s="4">
        <v>0.75815515603554395</v>
      </c>
      <c r="K27" s="4">
        <v>0.61553467592813504</v>
      </c>
      <c r="O27" t="s">
        <v>102</v>
      </c>
      <c r="P27" t="s">
        <v>98</v>
      </c>
      <c r="Q27">
        <v>9.8356248615705397E-2</v>
      </c>
      <c r="R27">
        <v>0.44313638732345501</v>
      </c>
    </row>
    <row r="28" spans="2:18" x14ac:dyDescent="0.5">
      <c r="B28" t="s">
        <v>106</v>
      </c>
      <c r="C28" s="6">
        <v>-0.20509527326024499</v>
      </c>
      <c r="D28" s="6">
        <v>-5.1424410101655597E-2</v>
      </c>
      <c r="E28" s="6">
        <v>-0.128290629142949</v>
      </c>
      <c r="F28" s="6">
        <v>-8.7381838761198094E-2</v>
      </c>
      <c r="G28" s="5"/>
      <c r="H28" s="4">
        <v>0.10685590013358499</v>
      </c>
      <c r="I28" s="4">
        <v>0.68896498434232001</v>
      </c>
      <c r="J28" s="4">
        <v>0.31632784671902903</v>
      </c>
      <c r="K28" s="4">
        <v>0.49946205516290598</v>
      </c>
      <c r="O28" t="s">
        <v>102</v>
      </c>
      <c r="P28" t="s">
        <v>57</v>
      </c>
      <c r="Q28">
        <v>5.9526733485596998E-2</v>
      </c>
      <c r="R28">
        <v>0.64305707224403197</v>
      </c>
    </row>
    <row r="29" spans="2:18" x14ac:dyDescent="0.5">
      <c r="B29" t="s">
        <v>109</v>
      </c>
      <c r="C29" s="6">
        <v>0.29452103288500397</v>
      </c>
      <c r="D29" s="6">
        <v>4.0185367368317897E-2</v>
      </c>
      <c r="E29" s="6">
        <v>0.31669433012558501</v>
      </c>
      <c r="F29" s="6">
        <v>0.19553677273944101</v>
      </c>
      <c r="G29" s="5"/>
      <c r="H29" s="4">
        <v>1.9123876457973699E-2</v>
      </c>
      <c r="I29" s="4">
        <v>0.75450812790699695</v>
      </c>
      <c r="J29" s="4">
        <v>1.1445198457202399E-2</v>
      </c>
      <c r="K29" s="4">
        <v>0.127741526898109</v>
      </c>
      <c r="O29" t="s">
        <v>102</v>
      </c>
      <c r="P29" t="s">
        <v>56</v>
      </c>
      <c r="Q29">
        <v>0.14906764395856401</v>
      </c>
      <c r="R29">
        <v>0.243605141117406</v>
      </c>
    </row>
    <row r="30" spans="2:18" x14ac:dyDescent="0.5">
      <c r="B30" t="s">
        <v>110</v>
      </c>
      <c r="C30" s="6">
        <v>8.9733615758232604E-2</v>
      </c>
      <c r="D30" s="6">
        <v>7.8715716371878505E-2</v>
      </c>
      <c r="E30" s="6">
        <v>0.14982012322393901</v>
      </c>
      <c r="F30" s="6">
        <v>5.7696683355870901E-2</v>
      </c>
      <c r="G30" s="5"/>
      <c r="H30" s="4">
        <v>0.48430908474470102</v>
      </c>
      <c r="I30" s="4">
        <v>0.539725602406946</v>
      </c>
      <c r="J30" s="4">
        <v>0.241206601571265</v>
      </c>
      <c r="K30" s="4">
        <v>0.65600905502461004</v>
      </c>
      <c r="O30" t="s">
        <v>102</v>
      </c>
      <c r="P30" t="s">
        <v>55</v>
      </c>
      <c r="Q30">
        <v>7.6478980761375895E-2</v>
      </c>
      <c r="R30">
        <v>0.55464964976269304</v>
      </c>
    </row>
    <row r="31" spans="2:18" x14ac:dyDescent="0.5">
      <c r="B31" t="s">
        <v>111</v>
      </c>
      <c r="C31" s="6">
        <v>0.20653711454832799</v>
      </c>
      <c r="D31" s="6">
        <v>1.51339002037712E-2</v>
      </c>
      <c r="E31" s="6">
        <v>0.22606267888426801</v>
      </c>
      <c r="F31" s="6">
        <v>0.238182323353752</v>
      </c>
      <c r="G31" s="5"/>
      <c r="H31" s="4">
        <v>0.10436010313683</v>
      </c>
      <c r="I31" s="4">
        <v>0.906287238695339</v>
      </c>
      <c r="J31" s="4">
        <v>7.4826468997295004E-2</v>
      </c>
      <c r="K31" s="4">
        <v>6.2292250305477602E-2</v>
      </c>
      <c r="O31" t="s">
        <v>61</v>
      </c>
      <c r="P31" t="s">
        <v>98</v>
      </c>
      <c r="Q31">
        <v>-0.30293930051184398</v>
      </c>
      <c r="R31">
        <v>1.5806084554751899E-2</v>
      </c>
    </row>
    <row r="32" spans="2:18" x14ac:dyDescent="0.5">
      <c r="O32" t="s">
        <v>61</v>
      </c>
      <c r="P32" t="s">
        <v>57</v>
      </c>
      <c r="Q32">
        <v>-2.5172881505345902E-2</v>
      </c>
      <c r="R32">
        <v>0.84474050239457998</v>
      </c>
    </row>
    <row r="33" spans="8:18" x14ac:dyDescent="0.5">
      <c r="H33" t="b">
        <f>H19&lt;$J$17</f>
        <v>0</v>
      </c>
      <c r="I33" t="b">
        <f t="shared" ref="I33:K33" si="5">I19&lt;$J$17</f>
        <v>0</v>
      </c>
      <c r="J33" t="b">
        <f t="shared" si="5"/>
        <v>1</v>
      </c>
      <c r="K33" t="b">
        <f t="shared" si="5"/>
        <v>1</v>
      </c>
      <c r="O33" t="s">
        <v>61</v>
      </c>
      <c r="P33" t="s">
        <v>56</v>
      </c>
      <c r="Q33">
        <v>-0.386115862854571</v>
      </c>
      <c r="R33">
        <v>1.7750256865924699E-3</v>
      </c>
    </row>
    <row r="34" spans="8:18" x14ac:dyDescent="0.5">
      <c r="H34" t="b">
        <f t="shared" ref="H34:K34" si="6">H20&lt;$J$17</f>
        <v>0</v>
      </c>
      <c r="I34" t="b">
        <f t="shared" si="6"/>
        <v>0</v>
      </c>
      <c r="J34" t="b">
        <f t="shared" si="6"/>
        <v>0</v>
      </c>
      <c r="K34" t="b">
        <f t="shared" si="6"/>
        <v>0</v>
      </c>
      <c r="O34" t="s">
        <v>61</v>
      </c>
      <c r="P34" t="s">
        <v>55</v>
      </c>
      <c r="Q34">
        <v>-0.369668549909422</v>
      </c>
      <c r="R34">
        <v>3.1059170632839399E-3</v>
      </c>
    </row>
    <row r="35" spans="8:18" x14ac:dyDescent="0.5">
      <c r="H35" t="b">
        <f t="shared" ref="H35:K35" si="7">H21&lt;$J$17</f>
        <v>0</v>
      </c>
      <c r="I35" t="b">
        <f t="shared" si="7"/>
        <v>0</v>
      </c>
      <c r="J35" t="b">
        <f t="shared" si="7"/>
        <v>0</v>
      </c>
      <c r="K35" t="b">
        <f t="shared" si="7"/>
        <v>0</v>
      </c>
      <c r="O35" t="s">
        <v>103</v>
      </c>
      <c r="P35" t="s">
        <v>98</v>
      </c>
      <c r="Q35">
        <v>8.0233609065153602E-2</v>
      </c>
      <c r="R35">
        <v>0.53191136585415399</v>
      </c>
    </row>
    <row r="36" spans="8:18" x14ac:dyDescent="0.5">
      <c r="H36" t="b">
        <f t="shared" ref="H36:K36" si="8">H22&lt;$J$17</f>
        <v>0</v>
      </c>
      <c r="I36" t="b">
        <f t="shared" si="8"/>
        <v>0</v>
      </c>
      <c r="J36" t="b">
        <f t="shared" si="8"/>
        <v>1</v>
      </c>
      <c r="K36" t="b">
        <f t="shared" si="8"/>
        <v>0</v>
      </c>
      <c r="O36" t="s">
        <v>103</v>
      </c>
      <c r="P36" t="s">
        <v>57</v>
      </c>
      <c r="Q36">
        <v>-3.6058516713179098E-2</v>
      </c>
      <c r="R36">
        <v>0.77904361445352999</v>
      </c>
    </row>
    <row r="37" spans="8:18" x14ac:dyDescent="0.5">
      <c r="O37" t="s">
        <v>103</v>
      </c>
      <c r="P37" t="s">
        <v>56</v>
      </c>
      <c r="Q37">
        <v>3.9569476461645901E-2</v>
      </c>
      <c r="R37">
        <v>0.75815515603554395</v>
      </c>
    </row>
    <row r="38" spans="8:18" x14ac:dyDescent="0.5">
      <c r="O38" t="s">
        <v>103</v>
      </c>
      <c r="P38" t="s">
        <v>55</v>
      </c>
      <c r="Q38">
        <v>6.5033970564660995E-2</v>
      </c>
      <c r="R38">
        <v>0.61553467592813504</v>
      </c>
    </row>
    <row r="39" spans="8:18" x14ac:dyDescent="0.5">
      <c r="O39" t="s">
        <v>65</v>
      </c>
      <c r="P39" t="s">
        <v>98</v>
      </c>
      <c r="Q39">
        <v>0.142596357761515</v>
      </c>
      <c r="R39">
        <v>0.26490721367484599</v>
      </c>
    </row>
    <row r="40" spans="8:18" x14ac:dyDescent="0.5">
      <c r="H40" t="b">
        <f t="shared" ref="H40:K40" si="9">H26&lt;$J$17</f>
        <v>0</v>
      </c>
      <c r="I40" t="b">
        <f t="shared" si="9"/>
        <v>0</v>
      </c>
      <c r="J40" t="b">
        <f t="shared" si="9"/>
        <v>0</v>
      </c>
      <c r="K40" t="b">
        <f t="shared" si="9"/>
        <v>0</v>
      </c>
      <c r="O40" t="s">
        <v>65</v>
      </c>
      <c r="P40" t="s">
        <v>57</v>
      </c>
      <c r="Q40">
        <v>-7.7489341151181196E-2</v>
      </c>
      <c r="R40">
        <v>0.54607974253432401</v>
      </c>
    </row>
    <row r="41" spans="8:18" x14ac:dyDescent="0.5">
      <c r="H41" t="b">
        <f t="shared" ref="H41:K41" si="10">H27&lt;$J$17</f>
        <v>0</v>
      </c>
      <c r="I41" t="b">
        <f t="shared" si="10"/>
        <v>0</v>
      </c>
      <c r="J41" t="b">
        <f t="shared" si="10"/>
        <v>0</v>
      </c>
      <c r="K41" t="b">
        <f t="shared" si="10"/>
        <v>0</v>
      </c>
      <c r="O41" t="s">
        <v>65</v>
      </c>
      <c r="P41" t="s">
        <v>56</v>
      </c>
      <c r="Q41">
        <v>0.18052077987305101</v>
      </c>
      <c r="R41">
        <v>0.15683166168079199</v>
      </c>
    </row>
    <row r="42" spans="8:18" x14ac:dyDescent="0.5">
      <c r="H42" t="b">
        <f t="shared" ref="H42:K42" si="11">H28&lt;$J$17</f>
        <v>0</v>
      </c>
      <c r="I42" t="b">
        <f t="shared" si="11"/>
        <v>0</v>
      </c>
      <c r="J42" t="b">
        <f t="shared" si="11"/>
        <v>0</v>
      </c>
      <c r="K42" t="b">
        <f t="shared" si="11"/>
        <v>0</v>
      </c>
      <c r="O42" t="s">
        <v>65</v>
      </c>
      <c r="P42" t="s">
        <v>55</v>
      </c>
      <c r="Q42">
        <v>0.30558498636876003</v>
      </c>
      <c r="R42">
        <v>1.5722501248514799E-2</v>
      </c>
    </row>
    <row r="43" spans="8:18" x14ac:dyDescent="0.5">
      <c r="H43" t="b">
        <f t="shared" ref="H43:K43" si="12">H29&lt;$J$17</f>
        <v>0</v>
      </c>
      <c r="I43" t="b">
        <f t="shared" si="12"/>
        <v>0</v>
      </c>
      <c r="J43" t="b">
        <f t="shared" si="12"/>
        <v>1</v>
      </c>
      <c r="K43" t="b">
        <f t="shared" si="12"/>
        <v>0</v>
      </c>
      <c r="O43" t="s">
        <v>97</v>
      </c>
      <c r="P43" t="s">
        <v>98</v>
      </c>
      <c r="Q43">
        <v>0.29452103288500397</v>
      </c>
      <c r="R43">
        <v>1.9123876457973699E-2</v>
      </c>
    </row>
    <row r="44" spans="8:18" x14ac:dyDescent="0.5">
      <c r="O44" t="s">
        <v>97</v>
      </c>
      <c r="P44" t="s">
        <v>57</v>
      </c>
      <c r="Q44">
        <v>4.0185367368317897E-2</v>
      </c>
      <c r="R44">
        <v>0.75450812790699695</v>
      </c>
    </row>
    <row r="45" spans="8:18" x14ac:dyDescent="0.5">
      <c r="O45" t="s">
        <v>97</v>
      </c>
      <c r="P45" t="s">
        <v>56</v>
      </c>
      <c r="Q45">
        <v>0.31669433012558501</v>
      </c>
      <c r="R45">
        <v>1.1445198457202399E-2</v>
      </c>
    </row>
    <row r="46" spans="8:18" x14ac:dyDescent="0.5">
      <c r="O46" t="s">
        <v>97</v>
      </c>
      <c r="P46" t="s">
        <v>55</v>
      </c>
      <c r="Q46">
        <v>0.19553677273944101</v>
      </c>
      <c r="R46">
        <v>0.127741526898109</v>
      </c>
    </row>
    <row r="47" spans="8:18" x14ac:dyDescent="0.5">
      <c r="O47" t="s">
        <v>67</v>
      </c>
      <c r="P47" t="s">
        <v>98</v>
      </c>
      <c r="Q47">
        <v>-0.29820321905442798</v>
      </c>
      <c r="R47">
        <v>1.7606020288405699E-2</v>
      </c>
    </row>
    <row r="48" spans="8:18" x14ac:dyDescent="0.5">
      <c r="O48" t="s">
        <v>67</v>
      </c>
      <c r="P48" t="s">
        <v>57</v>
      </c>
      <c r="Q48">
        <v>-7.6868116010374396E-2</v>
      </c>
      <c r="R48">
        <v>0.54931219531738795</v>
      </c>
    </row>
    <row r="49" spans="15:18" x14ac:dyDescent="0.5">
      <c r="O49" t="s">
        <v>67</v>
      </c>
      <c r="P49" t="s">
        <v>56</v>
      </c>
      <c r="Q49">
        <v>-0.36342982131858997</v>
      </c>
      <c r="R49">
        <v>3.4148702327211301E-3</v>
      </c>
    </row>
    <row r="50" spans="15:18" x14ac:dyDescent="0.5">
      <c r="O50" t="s">
        <v>67</v>
      </c>
      <c r="P50" t="s">
        <v>55</v>
      </c>
      <c r="Q50">
        <v>-0.23984115804932399</v>
      </c>
      <c r="R50">
        <v>6.04380159823934E-2</v>
      </c>
    </row>
    <row r="51" spans="15:18" x14ac:dyDescent="0.5">
      <c r="O51" t="s">
        <v>101</v>
      </c>
      <c r="P51" t="s">
        <v>98</v>
      </c>
      <c r="Q51">
        <v>8.9733615758232604E-2</v>
      </c>
      <c r="R51">
        <v>0.48430908474470102</v>
      </c>
    </row>
    <row r="52" spans="15:18" x14ac:dyDescent="0.5">
      <c r="O52" t="s">
        <v>101</v>
      </c>
      <c r="P52" t="s">
        <v>57</v>
      </c>
      <c r="Q52">
        <v>7.8715716371878505E-2</v>
      </c>
      <c r="R52">
        <v>0.539725602406946</v>
      </c>
    </row>
    <row r="53" spans="15:18" x14ac:dyDescent="0.5">
      <c r="O53" t="s">
        <v>101</v>
      </c>
      <c r="P53" t="s">
        <v>56</v>
      </c>
      <c r="Q53">
        <v>0.14982012322393901</v>
      </c>
      <c r="R53">
        <v>0.241206601571265</v>
      </c>
    </row>
    <row r="54" spans="15:18" x14ac:dyDescent="0.5">
      <c r="O54" t="s">
        <v>101</v>
      </c>
      <c r="P54" t="s">
        <v>55</v>
      </c>
      <c r="Q54">
        <v>5.7696683355870901E-2</v>
      </c>
      <c r="R54">
        <v>0.65600905502461004</v>
      </c>
    </row>
    <row r="55" spans="15:18" x14ac:dyDescent="0.5">
      <c r="O55" t="s">
        <v>73</v>
      </c>
      <c r="P55" t="s">
        <v>98</v>
      </c>
      <c r="Q55">
        <v>-0.28532630815446097</v>
      </c>
      <c r="R55">
        <v>2.3408547843076E-2</v>
      </c>
    </row>
    <row r="56" spans="15:18" x14ac:dyDescent="0.5">
      <c r="O56" t="s">
        <v>73</v>
      </c>
      <c r="P56" t="s">
        <v>57</v>
      </c>
      <c r="Q56">
        <v>-2.0290054626432401E-2</v>
      </c>
      <c r="R56">
        <v>0.87458402002115498</v>
      </c>
    </row>
    <row r="57" spans="15:18" x14ac:dyDescent="0.5">
      <c r="O57" t="s">
        <v>73</v>
      </c>
      <c r="P57" t="s">
        <v>56</v>
      </c>
      <c r="Q57">
        <v>-0.37605161169394302</v>
      </c>
      <c r="R57">
        <v>2.3864398005407198E-3</v>
      </c>
    </row>
    <row r="58" spans="15:18" x14ac:dyDescent="0.5">
      <c r="O58" t="s">
        <v>73</v>
      </c>
      <c r="P58" t="s">
        <v>55</v>
      </c>
      <c r="Q58">
        <v>-0.37929890074431699</v>
      </c>
      <c r="R58">
        <v>2.3633481920731199E-3</v>
      </c>
    </row>
    <row r="59" spans="15:18" x14ac:dyDescent="0.5">
      <c r="O59" t="s">
        <v>99</v>
      </c>
      <c r="P59" t="s">
        <v>98</v>
      </c>
      <c r="Q59">
        <v>0.20653711454832799</v>
      </c>
      <c r="R59">
        <v>0.10436010313683</v>
      </c>
    </row>
    <row r="60" spans="15:18" x14ac:dyDescent="0.5">
      <c r="O60" t="s">
        <v>99</v>
      </c>
      <c r="P60" t="s">
        <v>57</v>
      </c>
      <c r="Q60">
        <v>1.51339002037712E-2</v>
      </c>
      <c r="R60">
        <v>0.906287238695339</v>
      </c>
    </row>
    <row r="61" spans="15:18" x14ac:dyDescent="0.5">
      <c r="O61" t="s">
        <v>99</v>
      </c>
      <c r="P61" t="s">
        <v>56</v>
      </c>
      <c r="Q61">
        <v>0.22606267888426801</v>
      </c>
      <c r="R61">
        <v>7.4826468997295004E-2</v>
      </c>
    </row>
    <row r="62" spans="15:18" x14ac:dyDescent="0.5">
      <c r="O62" t="s">
        <v>99</v>
      </c>
      <c r="P62" t="s">
        <v>55</v>
      </c>
      <c r="Q62">
        <v>0.238182323353752</v>
      </c>
      <c r="R62">
        <v>6.2292250305477602E-2</v>
      </c>
    </row>
    <row r="63" spans="15:18" x14ac:dyDescent="0.5">
      <c r="O63" t="s">
        <v>75</v>
      </c>
      <c r="P63" t="s">
        <v>98</v>
      </c>
      <c r="Q63">
        <v>-0.113755041826725</v>
      </c>
      <c r="R63">
        <v>0.37469765454927001</v>
      </c>
    </row>
    <row r="64" spans="15:18" x14ac:dyDescent="0.5">
      <c r="O64" t="s">
        <v>75</v>
      </c>
      <c r="P64" t="s">
        <v>57</v>
      </c>
      <c r="Q64">
        <v>-9.7217565958956503E-2</v>
      </c>
      <c r="R64">
        <v>0.44845904844559398</v>
      </c>
    </row>
    <row r="65" spans="15:18" x14ac:dyDescent="0.5">
      <c r="O65" t="s">
        <v>75</v>
      </c>
      <c r="P65" t="s">
        <v>56</v>
      </c>
      <c r="Q65">
        <v>-0.134817735459485</v>
      </c>
      <c r="R65">
        <v>0.292124275592063</v>
      </c>
    </row>
    <row r="66" spans="15:18" x14ac:dyDescent="0.5">
      <c r="O66" t="s">
        <v>75</v>
      </c>
      <c r="P66" t="s">
        <v>55</v>
      </c>
      <c r="Q66">
        <v>-1.8297174579646899E-2</v>
      </c>
      <c r="R66">
        <v>0.88774998048555598</v>
      </c>
    </row>
  </sheetData>
  <mergeCells count="5">
    <mergeCell ref="A1:F1"/>
    <mergeCell ref="C2:F2"/>
    <mergeCell ref="A12:F14"/>
    <mergeCell ref="A8:A11"/>
    <mergeCell ref="A4:A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E57A-2A9E-4F83-8959-0A4CC867DBCE}">
  <dimension ref="A1:K90"/>
  <sheetViews>
    <sheetView topLeftCell="A72" workbookViewId="0">
      <selection activeCell="A94" sqref="A94:L97"/>
    </sheetView>
  </sheetViews>
  <sheetFormatPr defaultRowHeight="14.35" x14ac:dyDescent="0.5"/>
  <sheetData>
    <row r="1" spans="1:11" x14ac:dyDescent="0.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0</v>
      </c>
      <c r="H1" t="s">
        <v>45</v>
      </c>
      <c r="I1" t="s">
        <v>46</v>
      </c>
      <c r="J1" t="s">
        <v>47</v>
      </c>
      <c r="K1" t="s">
        <v>48</v>
      </c>
    </row>
    <row r="2" spans="1:11" x14ac:dyDescent="0.5">
      <c r="A2" t="s">
        <v>49</v>
      </c>
      <c r="B2" t="s">
        <v>50</v>
      </c>
      <c r="C2">
        <v>1</v>
      </c>
      <c r="G2">
        <v>90</v>
      </c>
      <c r="H2">
        <v>40.618555555555602</v>
      </c>
      <c r="I2">
        <v>10.7552169270808</v>
      </c>
      <c r="J2">
        <v>19.66</v>
      </c>
      <c r="K2">
        <v>61.94</v>
      </c>
    </row>
    <row r="3" spans="1:11" x14ac:dyDescent="0.5">
      <c r="A3" t="s">
        <v>49</v>
      </c>
      <c r="B3" t="s">
        <v>51</v>
      </c>
      <c r="C3">
        <v>0</v>
      </c>
      <c r="D3">
        <v>1</v>
      </c>
      <c r="E3">
        <v>46</v>
      </c>
      <c r="F3">
        <v>51.1111111111111</v>
      </c>
    </row>
    <row r="4" spans="1:11" x14ac:dyDescent="0.5">
      <c r="A4" t="s">
        <v>49</v>
      </c>
      <c r="B4" t="s">
        <v>51</v>
      </c>
      <c r="C4">
        <v>0</v>
      </c>
      <c r="D4">
        <v>2</v>
      </c>
      <c r="E4">
        <v>43</v>
      </c>
      <c r="F4">
        <v>47.7777777777778</v>
      </c>
    </row>
    <row r="5" spans="1:11" x14ac:dyDescent="0.5">
      <c r="A5" t="s">
        <v>49</v>
      </c>
      <c r="B5" t="s">
        <v>51</v>
      </c>
      <c r="C5">
        <v>0</v>
      </c>
      <c r="D5">
        <v>3</v>
      </c>
      <c r="E5">
        <v>1</v>
      </c>
      <c r="F5">
        <v>1.1111111111111101</v>
      </c>
    </row>
    <row r="6" spans="1:11" x14ac:dyDescent="0.5">
      <c r="A6" t="s">
        <v>49</v>
      </c>
      <c r="B6" t="s">
        <v>52</v>
      </c>
      <c r="C6">
        <v>0</v>
      </c>
      <c r="D6">
        <v>1</v>
      </c>
      <c r="E6">
        <v>42</v>
      </c>
      <c r="F6">
        <v>46.6666666666667</v>
      </c>
    </row>
    <row r="7" spans="1:11" x14ac:dyDescent="0.5">
      <c r="A7" t="s">
        <v>49</v>
      </c>
      <c r="B7" t="s">
        <v>52</v>
      </c>
      <c r="C7">
        <v>0</v>
      </c>
      <c r="D7">
        <v>2</v>
      </c>
      <c r="E7">
        <v>35</v>
      </c>
      <c r="F7">
        <v>38.8888888888889</v>
      </c>
    </row>
    <row r="8" spans="1:11" x14ac:dyDescent="0.5">
      <c r="A8" t="s">
        <v>49</v>
      </c>
      <c r="B8" t="s">
        <v>52</v>
      </c>
      <c r="C8">
        <v>0</v>
      </c>
      <c r="D8">
        <v>3</v>
      </c>
      <c r="E8">
        <v>7</v>
      </c>
      <c r="F8">
        <v>7.7777777777777803</v>
      </c>
    </row>
    <row r="9" spans="1:11" x14ac:dyDescent="0.5">
      <c r="A9" t="s">
        <v>49</v>
      </c>
      <c r="B9" t="s">
        <v>52</v>
      </c>
      <c r="C9">
        <v>0</v>
      </c>
      <c r="D9">
        <v>4</v>
      </c>
      <c r="E9">
        <v>6</v>
      </c>
      <c r="F9">
        <v>6.6666666666666696</v>
      </c>
    </row>
    <row r="10" spans="1:11" x14ac:dyDescent="0.5">
      <c r="A10" t="s">
        <v>49</v>
      </c>
      <c r="B10" t="s">
        <v>53</v>
      </c>
      <c r="C10">
        <v>1</v>
      </c>
      <c r="G10">
        <v>87</v>
      </c>
      <c r="H10">
        <v>15.0114942528736</v>
      </c>
      <c r="I10">
        <v>3.0632641538282899</v>
      </c>
      <c r="J10">
        <v>5</v>
      </c>
      <c r="K10">
        <v>22</v>
      </c>
    </row>
    <row r="11" spans="1:11" x14ac:dyDescent="0.5">
      <c r="A11" t="s">
        <v>49</v>
      </c>
      <c r="B11" t="s">
        <v>54</v>
      </c>
      <c r="C11">
        <v>1</v>
      </c>
      <c r="G11">
        <v>90</v>
      </c>
      <c r="H11">
        <v>14.35</v>
      </c>
      <c r="I11">
        <v>3.4236864946258101</v>
      </c>
      <c r="J11">
        <v>1.5</v>
      </c>
      <c r="K11">
        <v>25</v>
      </c>
    </row>
    <row r="12" spans="1:11" x14ac:dyDescent="0.5">
      <c r="A12" t="s">
        <v>49</v>
      </c>
      <c r="B12" t="s">
        <v>55</v>
      </c>
      <c r="C12">
        <v>1</v>
      </c>
      <c r="G12">
        <v>62</v>
      </c>
      <c r="H12">
        <v>44</v>
      </c>
      <c r="I12">
        <v>10.966416692884099</v>
      </c>
      <c r="J12">
        <v>24</v>
      </c>
      <c r="K12">
        <v>82</v>
      </c>
    </row>
    <row r="13" spans="1:11" x14ac:dyDescent="0.5">
      <c r="A13" t="s">
        <v>49</v>
      </c>
      <c r="B13" t="s">
        <v>56</v>
      </c>
      <c r="C13">
        <v>1</v>
      </c>
      <c r="G13">
        <v>63</v>
      </c>
      <c r="H13">
        <v>10.9206349206349</v>
      </c>
      <c r="I13">
        <v>5.7003157447964004</v>
      </c>
      <c r="J13">
        <v>4</v>
      </c>
      <c r="K13">
        <v>23</v>
      </c>
    </row>
    <row r="14" spans="1:11" x14ac:dyDescent="0.5">
      <c r="A14" t="s">
        <v>49</v>
      </c>
      <c r="B14" t="s">
        <v>57</v>
      </c>
      <c r="C14">
        <v>1</v>
      </c>
      <c r="G14">
        <v>63</v>
      </c>
      <c r="H14">
        <v>5.7777777777777803</v>
      </c>
      <c r="I14">
        <v>2.8873720859501302</v>
      </c>
      <c r="J14">
        <v>3</v>
      </c>
      <c r="K14">
        <v>14</v>
      </c>
    </row>
    <row r="15" spans="1:11" x14ac:dyDescent="0.5">
      <c r="A15" t="s">
        <v>49</v>
      </c>
      <c r="B15" t="s">
        <v>58</v>
      </c>
      <c r="C15">
        <v>1</v>
      </c>
      <c r="G15">
        <v>63</v>
      </c>
      <c r="H15">
        <v>5.1269841269841301</v>
      </c>
      <c r="I15">
        <v>1.65092411552677</v>
      </c>
      <c r="J15">
        <v>4</v>
      </c>
      <c r="K15">
        <v>10</v>
      </c>
    </row>
    <row r="16" spans="1:11" x14ac:dyDescent="0.5">
      <c r="A16" t="s">
        <v>49</v>
      </c>
      <c r="B16" t="s">
        <v>59</v>
      </c>
      <c r="C16">
        <v>1</v>
      </c>
      <c r="G16">
        <v>63</v>
      </c>
      <c r="H16">
        <v>5.6825396825396801</v>
      </c>
      <c r="I16">
        <v>2.75227411440417</v>
      </c>
      <c r="J16">
        <v>3</v>
      </c>
      <c r="K16">
        <v>14</v>
      </c>
    </row>
    <row r="17" spans="1:11" x14ac:dyDescent="0.5">
      <c r="A17" t="s">
        <v>49</v>
      </c>
      <c r="B17" t="s">
        <v>60</v>
      </c>
      <c r="C17">
        <v>1</v>
      </c>
      <c r="G17">
        <v>63</v>
      </c>
      <c r="H17">
        <v>4.8412698412698401</v>
      </c>
      <c r="I17">
        <v>1.41656500945465</v>
      </c>
      <c r="J17">
        <v>4</v>
      </c>
      <c r="K17">
        <v>10</v>
      </c>
    </row>
    <row r="18" spans="1:11" x14ac:dyDescent="0.5">
      <c r="A18" t="s">
        <v>49</v>
      </c>
      <c r="B18" t="s">
        <v>73</v>
      </c>
      <c r="C18">
        <v>1</v>
      </c>
      <c r="G18">
        <v>90</v>
      </c>
      <c r="H18">
        <v>0.87148148148148197</v>
      </c>
      <c r="I18">
        <v>0.12617103021967599</v>
      </c>
      <c r="J18">
        <v>0.5</v>
      </c>
      <c r="K18">
        <v>1</v>
      </c>
    </row>
    <row r="19" spans="1:11" x14ac:dyDescent="0.5">
      <c r="A19" t="s">
        <v>49</v>
      </c>
      <c r="B19" t="s">
        <v>74</v>
      </c>
      <c r="C19">
        <v>1</v>
      </c>
      <c r="G19">
        <v>90</v>
      </c>
      <c r="H19">
        <v>0.85308641975308597</v>
      </c>
      <c r="I19">
        <v>0.13247515938263599</v>
      </c>
      <c r="J19">
        <v>0.5</v>
      </c>
      <c r="K19">
        <v>1</v>
      </c>
    </row>
    <row r="20" spans="1:11" x14ac:dyDescent="0.5">
      <c r="A20" t="s">
        <v>49</v>
      </c>
      <c r="B20" t="s">
        <v>75</v>
      </c>
      <c r="C20">
        <v>1</v>
      </c>
      <c r="G20">
        <v>90</v>
      </c>
      <c r="H20">
        <v>0.49641975308642</v>
      </c>
      <c r="I20">
        <v>0.15319981682461101</v>
      </c>
      <c r="J20">
        <v>0</v>
      </c>
      <c r="K20">
        <v>1</v>
      </c>
    </row>
    <row r="21" spans="1:11" x14ac:dyDescent="0.5">
      <c r="A21" t="s">
        <v>49</v>
      </c>
      <c r="B21" t="s">
        <v>76</v>
      </c>
      <c r="C21">
        <v>1</v>
      </c>
      <c r="G21">
        <v>90</v>
      </c>
      <c r="H21">
        <v>0.55629629629629596</v>
      </c>
      <c r="I21">
        <v>0.156549349120161</v>
      </c>
      <c r="J21">
        <v>0.1</v>
      </c>
      <c r="K21">
        <v>1</v>
      </c>
    </row>
    <row r="22" spans="1:11" x14ac:dyDescent="0.5">
      <c r="A22" t="s">
        <v>49</v>
      </c>
      <c r="B22" t="s">
        <v>61</v>
      </c>
      <c r="C22">
        <v>1</v>
      </c>
      <c r="G22">
        <v>90</v>
      </c>
      <c r="H22">
        <v>2.95888908194555</v>
      </c>
      <c r="I22">
        <v>1.1727315914705501</v>
      </c>
      <c r="J22">
        <v>0</v>
      </c>
      <c r="K22">
        <v>4.5730959026219598</v>
      </c>
    </row>
    <row r="23" spans="1:11" x14ac:dyDescent="0.5">
      <c r="A23" t="s">
        <v>49</v>
      </c>
      <c r="B23" t="s">
        <v>62</v>
      </c>
      <c r="C23">
        <v>1</v>
      </c>
      <c r="G23">
        <v>90</v>
      </c>
      <c r="H23">
        <v>2.9166158442050998</v>
      </c>
      <c r="I23">
        <v>1.2177414648093301</v>
      </c>
      <c r="J23">
        <v>0</v>
      </c>
      <c r="K23">
        <v>4.5730959026219598</v>
      </c>
    </row>
    <row r="24" spans="1:11" x14ac:dyDescent="0.5">
      <c r="A24" t="s">
        <v>49</v>
      </c>
      <c r="B24" t="s">
        <v>63</v>
      </c>
      <c r="C24">
        <v>1</v>
      </c>
      <c r="G24">
        <v>90</v>
      </c>
      <c r="H24">
        <v>-2.8471534919852801E-2</v>
      </c>
      <c r="I24">
        <v>0.71193775236342804</v>
      </c>
      <c r="J24">
        <v>-2.2865479513109799</v>
      </c>
      <c r="K24">
        <v>2.2865479513109799</v>
      </c>
    </row>
    <row r="25" spans="1:11" x14ac:dyDescent="0.5">
      <c r="A25" t="s">
        <v>49</v>
      </c>
      <c r="B25" t="s">
        <v>64</v>
      </c>
      <c r="C25">
        <v>1</v>
      </c>
      <c r="G25">
        <v>90</v>
      </c>
      <c r="H25">
        <v>-0.27376742227838202</v>
      </c>
      <c r="I25">
        <v>0.68852380038843697</v>
      </c>
      <c r="J25">
        <v>-2.2865479513109799</v>
      </c>
      <c r="K25">
        <v>1.56408459244195</v>
      </c>
    </row>
    <row r="26" spans="1:11" x14ac:dyDescent="0.5">
      <c r="A26" t="s">
        <v>49</v>
      </c>
      <c r="B26" t="s">
        <v>65</v>
      </c>
      <c r="C26">
        <v>1</v>
      </c>
      <c r="G26">
        <v>90</v>
      </c>
      <c r="H26">
        <v>0.128271604938272</v>
      </c>
      <c r="I26">
        <v>0.17711456434485801</v>
      </c>
      <c r="J26">
        <v>1.1111111111111099E-2</v>
      </c>
      <c r="K26">
        <v>0.98888888888888904</v>
      </c>
    </row>
    <row r="27" spans="1:11" x14ac:dyDescent="0.5">
      <c r="A27" t="s">
        <v>49</v>
      </c>
      <c r="B27" t="s">
        <v>66</v>
      </c>
      <c r="C27">
        <v>1</v>
      </c>
      <c r="G27">
        <v>90</v>
      </c>
      <c r="H27">
        <v>0.206049382716049</v>
      </c>
      <c r="I27">
        <v>0.23577382010390699</v>
      </c>
      <c r="J27">
        <v>1.1111111111111099E-2</v>
      </c>
      <c r="K27">
        <v>0.98888888888888904</v>
      </c>
    </row>
    <row r="28" spans="1:11" x14ac:dyDescent="0.5">
      <c r="A28" t="s">
        <v>49</v>
      </c>
      <c r="B28" t="s">
        <v>67</v>
      </c>
      <c r="C28">
        <v>1</v>
      </c>
      <c r="G28">
        <v>90</v>
      </c>
      <c r="H28">
        <v>0.86395061728395095</v>
      </c>
      <c r="I28">
        <v>0.21230238246027899</v>
      </c>
      <c r="J28">
        <v>1.1111111111111099E-2</v>
      </c>
      <c r="K28">
        <v>0.98888888888888904</v>
      </c>
    </row>
    <row r="29" spans="1:11" x14ac:dyDescent="0.5">
      <c r="A29" t="s">
        <v>49</v>
      </c>
      <c r="B29" t="s">
        <v>68</v>
      </c>
      <c r="C29">
        <v>1</v>
      </c>
      <c r="G29">
        <v>90</v>
      </c>
      <c r="H29">
        <v>0.90333333333333299</v>
      </c>
      <c r="I29">
        <v>0.16142356373908401</v>
      </c>
      <c r="J29">
        <v>0.2</v>
      </c>
      <c r="K29">
        <v>0.98888888888888904</v>
      </c>
    </row>
    <row r="30" spans="1:11" x14ac:dyDescent="0.5">
      <c r="A30" t="s">
        <v>49</v>
      </c>
      <c r="B30" t="s">
        <v>121</v>
      </c>
      <c r="C30">
        <v>1</v>
      </c>
      <c r="G30">
        <v>90</v>
      </c>
      <c r="H30">
        <v>0.13604938271604899</v>
      </c>
      <c r="I30">
        <v>0.21230238246027899</v>
      </c>
      <c r="J30">
        <v>1.1111111111111001E-2</v>
      </c>
      <c r="K30">
        <v>0.98888888888888904</v>
      </c>
    </row>
    <row r="31" spans="1:11" x14ac:dyDescent="0.5">
      <c r="A31" t="s">
        <v>49</v>
      </c>
      <c r="B31" t="s">
        <v>122</v>
      </c>
      <c r="C31">
        <v>1</v>
      </c>
      <c r="G31">
        <v>90</v>
      </c>
      <c r="H31">
        <v>9.6666666666666595E-2</v>
      </c>
      <c r="I31">
        <v>0.16142356373908401</v>
      </c>
      <c r="J31">
        <v>1.1111111111111001E-2</v>
      </c>
      <c r="K31">
        <v>0.8</v>
      </c>
    </row>
    <row r="32" spans="1:11" x14ac:dyDescent="0.5">
      <c r="A32" t="s">
        <v>69</v>
      </c>
      <c r="B32" t="s">
        <v>50</v>
      </c>
      <c r="C32">
        <v>1</v>
      </c>
      <c r="G32">
        <v>63</v>
      </c>
      <c r="H32">
        <v>42.252857142857103</v>
      </c>
      <c r="I32">
        <v>10.7979332593238</v>
      </c>
      <c r="J32">
        <v>19.66</v>
      </c>
      <c r="K32">
        <v>61.94</v>
      </c>
    </row>
    <row r="33" spans="1:11" x14ac:dyDescent="0.5">
      <c r="A33" t="s">
        <v>69</v>
      </c>
      <c r="B33" t="s">
        <v>51</v>
      </c>
      <c r="C33">
        <v>0</v>
      </c>
      <c r="D33">
        <v>1</v>
      </c>
      <c r="E33">
        <v>31</v>
      </c>
      <c r="F33">
        <v>49.206349206349202</v>
      </c>
    </row>
    <row r="34" spans="1:11" x14ac:dyDescent="0.5">
      <c r="A34" t="s">
        <v>69</v>
      </c>
      <c r="B34" t="s">
        <v>51</v>
      </c>
      <c r="C34">
        <v>0</v>
      </c>
      <c r="D34">
        <v>2</v>
      </c>
      <c r="E34">
        <v>31</v>
      </c>
      <c r="F34">
        <v>49.206349206349202</v>
      </c>
    </row>
    <row r="35" spans="1:11" x14ac:dyDescent="0.5">
      <c r="A35" t="s">
        <v>69</v>
      </c>
      <c r="B35" t="s">
        <v>51</v>
      </c>
      <c r="C35">
        <v>0</v>
      </c>
      <c r="D35">
        <v>3</v>
      </c>
      <c r="E35">
        <v>1</v>
      </c>
      <c r="F35">
        <v>1.5873015873015901</v>
      </c>
    </row>
    <row r="36" spans="1:11" x14ac:dyDescent="0.5">
      <c r="A36" t="s">
        <v>69</v>
      </c>
      <c r="B36" t="s">
        <v>52</v>
      </c>
      <c r="C36">
        <v>0</v>
      </c>
      <c r="D36">
        <v>1</v>
      </c>
      <c r="E36">
        <v>31</v>
      </c>
      <c r="F36">
        <v>49.206349206349202</v>
      </c>
    </row>
    <row r="37" spans="1:11" x14ac:dyDescent="0.5">
      <c r="A37" t="s">
        <v>69</v>
      </c>
      <c r="B37" t="s">
        <v>52</v>
      </c>
      <c r="C37">
        <v>0</v>
      </c>
      <c r="D37">
        <v>2</v>
      </c>
      <c r="E37">
        <v>27</v>
      </c>
      <c r="F37">
        <v>42.857142857142897</v>
      </c>
    </row>
    <row r="38" spans="1:11" x14ac:dyDescent="0.5">
      <c r="A38" t="s">
        <v>69</v>
      </c>
      <c r="B38" t="s">
        <v>52</v>
      </c>
      <c r="C38">
        <v>0</v>
      </c>
      <c r="D38">
        <v>3</v>
      </c>
      <c r="E38">
        <v>3</v>
      </c>
      <c r="F38">
        <v>4.7619047619047601</v>
      </c>
    </row>
    <row r="39" spans="1:11" x14ac:dyDescent="0.5">
      <c r="A39" t="s">
        <v>69</v>
      </c>
      <c r="B39" t="s">
        <v>52</v>
      </c>
      <c r="C39">
        <v>0</v>
      </c>
      <c r="D39">
        <v>4</v>
      </c>
      <c r="E39">
        <v>2</v>
      </c>
      <c r="F39">
        <v>3.17460317460317</v>
      </c>
    </row>
    <row r="40" spans="1:11" x14ac:dyDescent="0.5">
      <c r="A40" t="s">
        <v>69</v>
      </c>
      <c r="B40" t="s">
        <v>53</v>
      </c>
      <c r="C40">
        <v>1</v>
      </c>
      <c r="G40">
        <v>61</v>
      </c>
      <c r="H40">
        <v>14.934426229508199</v>
      </c>
      <c r="I40">
        <v>2.6886728600991798</v>
      </c>
      <c r="J40">
        <v>9</v>
      </c>
      <c r="K40">
        <v>22</v>
      </c>
    </row>
    <row r="41" spans="1:11" x14ac:dyDescent="0.5">
      <c r="A41" t="s">
        <v>69</v>
      </c>
      <c r="B41" t="s">
        <v>54</v>
      </c>
      <c r="C41">
        <v>1</v>
      </c>
      <c r="G41">
        <v>63</v>
      </c>
      <c r="H41">
        <v>13.7380952380952</v>
      </c>
      <c r="I41">
        <v>3.3310091743817898</v>
      </c>
      <c r="J41">
        <v>1.5</v>
      </c>
      <c r="K41">
        <v>25</v>
      </c>
    </row>
    <row r="42" spans="1:11" x14ac:dyDescent="0.5">
      <c r="A42" t="s">
        <v>69</v>
      </c>
      <c r="B42" t="s">
        <v>55</v>
      </c>
      <c r="C42">
        <v>1</v>
      </c>
      <c r="G42">
        <v>62</v>
      </c>
      <c r="H42">
        <v>44</v>
      </c>
      <c r="I42">
        <v>10.966416692884099</v>
      </c>
      <c r="J42">
        <v>24</v>
      </c>
      <c r="K42">
        <v>82</v>
      </c>
    </row>
    <row r="43" spans="1:11" x14ac:dyDescent="0.5">
      <c r="A43" t="s">
        <v>69</v>
      </c>
      <c r="B43" t="s">
        <v>56</v>
      </c>
      <c r="C43">
        <v>1</v>
      </c>
      <c r="G43">
        <v>63</v>
      </c>
      <c r="H43">
        <v>10.9206349206349</v>
      </c>
      <c r="I43">
        <v>5.7003157447964004</v>
      </c>
      <c r="J43">
        <v>4</v>
      </c>
      <c r="K43">
        <v>23</v>
      </c>
    </row>
    <row r="44" spans="1:11" x14ac:dyDescent="0.5">
      <c r="A44" t="s">
        <v>69</v>
      </c>
      <c r="B44" t="s">
        <v>57</v>
      </c>
      <c r="C44">
        <v>1</v>
      </c>
      <c r="G44">
        <v>63</v>
      </c>
      <c r="H44">
        <v>5.7777777777777803</v>
      </c>
      <c r="I44">
        <v>2.8873720859501302</v>
      </c>
      <c r="J44">
        <v>3</v>
      </c>
      <c r="K44">
        <v>14</v>
      </c>
    </row>
    <row r="45" spans="1:11" x14ac:dyDescent="0.5">
      <c r="A45" t="s">
        <v>69</v>
      </c>
      <c r="B45" t="s">
        <v>58</v>
      </c>
      <c r="C45">
        <v>1</v>
      </c>
      <c r="G45">
        <v>63</v>
      </c>
      <c r="H45">
        <v>5.1269841269841301</v>
      </c>
      <c r="I45">
        <v>1.65092411552677</v>
      </c>
      <c r="J45">
        <v>4</v>
      </c>
      <c r="K45">
        <v>10</v>
      </c>
    </row>
    <row r="46" spans="1:11" x14ac:dyDescent="0.5">
      <c r="A46" t="s">
        <v>69</v>
      </c>
      <c r="B46" t="s">
        <v>59</v>
      </c>
      <c r="C46">
        <v>1</v>
      </c>
      <c r="G46">
        <v>63</v>
      </c>
      <c r="H46">
        <v>5.6825396825396801</v>
      </c>
      <c r="I46">
        <v>2.75227411440417</v>
      </c>
      <c r="J46">
        <v>3</v>
      </c>
      <c r="K46">
        <v>14</v>
      </c>
    </row>
    <row r="47" spans="1:11" x14ac:dyDescent="0.5">
      <c r="A47" t="s">
        <v>69</v>
      </c>
      <c r="B47" t="s">
        <v>60</v>
      </c>
      <c r="C47">
        <v>1</v>
      </c>
      <c r="G47">
        <v>63</v>
      </c>
      <c r="H47">
        <v>4.8412698412698401</v>
      </c>
      <c r="I47">
        <v>1.41656500945465</v>
      </c>
      <c r="J47">
        <v>4</v>
      </c>
      <c r="K47">
        <v>10</v>
      </c>
    </row>
    <row r="48" spans="1:11" x14ac:dyDescent="0.5">
      <c r="A48" t="s">
        <v>69</v>
      </c>
      <c r="B48" t="s">
        <v>73</v>
      </c>
      <c r="C48">
        <v>1</v>
      </c>
      <c r="G48">
        <v>63</v>
      </c>
      <c r="H48">
        <v>0.87848324514991205</v>
      </c>
      <c r="I48">
        <v>0.12827739344463099</v>
      </c>
      <c r="J48">
        <v>0.5</v>
      </c>
      <c r="K48">
        <v>1</v>
      </c>
    </row>
    <row r="49" spans="1:11" x14ac:dyDescent="0.5">
      <c r="A49" t="s">
        <v>69</v>
      </c>
      <c r="B49" t="s">
        <v>74</v>
      </c>
      <c r="C49">
        <v>1</v>
      </c>
      <c r="G49">
        <v>63</v>
      </c>
      <c r="H49">
        <v>0.86137566137566102</v>
      </c>
      <c r="I49">
        <v>0.136664730919315</v>
      </c>
      <c r="J49">
        <v>0.5</v>
      </c>
      <c r="K49">
        <v>1</v>
      </c>
    </row>
    <row r="50" spans="1:11" x14ac:dyDescent="0.5">
      <c r="A50" t="s">
        <v>69</v>
      </c>
      <c r="B50" t="s">
        <v>75</v>
      </c>
      <c r="C50">
        <v>1</v>
      </c>
      <c r="G50">
        <v>63</v>
      </c>
      <c r="H50">
        <v>0.51781305114638498</v>
      </c>
      <c r="I50">
        <v>0.15106867001695501</v>
      </c>
      <c r="J50">
        <v>0</v>
      </c>
      <c r="K50">
        <v>1</v>
      </c>
    </row>
    <row r="51" spans="1:11" x14ac:dyDescent="0.5">
      <c r="A51" t="s">
        <v>69</v>
      </c>
      <c r="B51" t="s">
        <v>76</v>
      </c>
      <c r="C51">
        <v>1</v>
      </c>
      <c r="G51">
        <v>63</v>
      </c>
      <c r="H51">
        <v>0.57336860670194001</v>
      </c>
      <c r="I51">
        <v>0.15097637471136499</v>
      </c>
      <c r="J51">
        <v>0.14444444444444399</v>
      </c>
      <c r="K51">
        <v>1</v>
      </c>
    </row>
    <row r="52" spans="1:11" x14ac:dyDescent="0.5">
      <c r="A52" t="s">
        <v>69</v>
      </c>
      <c r="B52" t="s">
        <v>61</v>
      </c>
      <c r="C52">
        <v>1</v>
      </c>
      <c r="G52">
        <v>63</v>
      </c>
      <c r="H52">
        <v>3.0240684696273199</v>
      </c>
      <c r="I52">
        <v>1.20322547862288</v>
      </c>
      <c r="J52">
        <v>0</v>
      </c>
      <c r="K52">
        <v>4.5730959026219598</v>
      </c>
    </row>
    <row r="53" spans="1:11" x14ac:dyDescent="0.5">
      <c r="A53" t="s">
        <v>69</v>
      </c>
      <c r="B53" t="s">
        <v>62</v>
      </c>
      <c r="C53">
        <v>1</v>
      </c>
      <c r="G53">
        <v>63</v>
      </c>
      <c r="H53">
        <v>3.01926060152348</v>
      </c>
      <c r="I53">
        <v>1.2441347208112901</v>
      </c>
      <c r="J53">
        <v>0</v>
      </c>
      <c r="K53">
        <v>4.5730959026219598</v>
      </c>
    </row>
    <row r="54" spans="1:11" x14ac:dyDescent="0.5">
      <c r="A54" t="s">
        <v>69</v>
      </c>
      <c r="B54" t="s">
        <v>63</v>
      </c>
      <c r="C54">
        <v>1</v>
      </c>
      <c r="G54">
        <v>63</v>
      </c>
      <c r="H54">
        <v>-0.13684401333007801</v>
      </c>
      <c r="I54">
        <v>0.70524393188550005</v>
      </c>
      <c r="J54">
        <v>-2.2865479513109799</v>
      </c>
      <c r="K54">
        <v>2.2865479513109799</v>
      </c>
    </row>
    <row r="55" spans="1:11" x14ac:dyDescent="0.5">
      <c r="A55" t="s">
        <v>69</v>
      </c>
      <c r="B55" t="s">
        <v>64</v>
      </c>
      <c r="C55">
        <v>1</v>
      </c>
      <c r="G55">
        <v>63</v>
      </c>
      <c r="H55">
        <v>-0.342625495835021</v>
      </c>
      <c r="I55">
        <v>0.66440366944717999</v>
      </c>
      <c r="J55">
        <v>-2.2865479513109799</v>
      </c>
      <c r="K55">
        <v>1.4215907861891</v>
      </c>
    </row>
    <row r="56" spans="1:11" x14ac:dyDescent="0.5">
      <c r="A56" t="s">
        <v>69</v>
      </c>
      <c r="B56" t="s">
        <v>65</v>
      </c>
      <c r="C56">
        <v>1</v>
      </c>
      <c r="G56">
        <v>63</v>
      </c>
      <c r="H56">
        <v>0.14250440917107601</v>
      </c>
      <c r="I56">
        <v>0.19496387030159601</v>
      </c>
      <c r="J56">
        <v>1.1111111111111099E-2</v>
      </c>
      <c r="K56">
        <v>0.98888888888888904</v>
      </c>
    </row>
    <row r="57" spans="1:11" x14ac:dyDescent="0.5">
      <c r="A57" t="s">
        <v>69</v>
      </c>
      <c r="B57" t="s">
        <v>66</v>
      </c>
      <c r="C57">
        <v>1</v>
      </c>
      <c r="G57">
        <v>63</v>
      </c>
      <c r="H57">
        <v>0.214991181657848</v>
      </c>
      <c r="I57">
        <v>0.252397178753896</v>
      </c>
      <c r="J57">
        <v>1.1111111111111099E-2</v>
      </c>
      <c r="K57">
        <v>0.98888888888888904</v>
      </c>
    </row>
    <row r="58" spans="1:11" x14ac:dyDescent="0.5">
      <c r="A58" t="s">
        <v>69</v>
      </c>
      <c r="B58" t="s">
        <v>67</v>
      </c>
      <c r="C58">
        <v>1</v>
      </c>
      <c r="G58">
        <v>63</v>
      </c>
      <c r="H58">
        <v>0.89188712522045899</v>
      </c>
      <c r="I58">
        <v>0.19509319678789599</v>
      </c>
      <c r="J58">
        <v>1.1111111111111099E-2</v>
      </c>
      <c r="K58">
        <v>0.98888888888888904</v>
      </c>
    </row>
    <row r="59" spans="1:11" x14ac:dyDescent="0.5">
      <c r="A59" t="s">
        <v>69</v>
      </c>
      <c r="B59" t="s">
        <v>68</v>
      </c>
      <c r="C59">
        <v>1</v>
      </c>
      <c r="G59">
        <v>63</v>
      </c>
      <c r="H59">
        <v>0.928042328042328</v>
      </c>
      <c r="I59">
        <v>0.12945151491845899</v>
      </c>
      <c r="J59">
        <v>0.28888888888888897</v>
      </c>
      <c r="K59">
        <v>0.98888888888888904</v>
      </c>
    </row>
    <row r="60" spans="1:11" x14ac:dyDescent="0.5">
      <c r="A60" t="s">
        <v>69</v>
      </c>
      <c r="B60" t="s">
        <v>121</v>
      </c>
      <c r="C60">
        <v>1</v>
      </c>
      <c r="G60">
        <v>63</v>
      </c>
      <c r="H60">
        <v>0.108112874779541</v>
      </c>
      <c r="I60">
        <v>0.19509319678789599</v>
      </c>
      <c r="J60">
        <v>1.1111111111111001E-2</v>
      </c>
      <c r="K60">
        <v>0.98888888888888904</v>
      </c>
    </row>
    <row r="61" spans="1:11" x14ac:dyDescent="0.5">
      <c r="A61" t="s">
        <v>69</v>
      </c>
      <c r="B61" t="s">
        <v>122</v>
      </c>
      <c r="C61">
        <v>1</v>
      </c>
      <c r="G61">
        <v>63</v>
      </c>
      <c r="H61">
        <v>7.1957671957671804E-2</v>
      </c>
      <c r="I61">
        <v>0.12945151491845899</v>
      </c>
      <c r="J61">
        <v>1.1111111111111001E-2</v>
      </c>
      <c r="K61">
        <v>0.71111111111111103</v>
      </c>
    </row>
    <row r="62" spans="1:11" x14ac:dyDescent="0.5">
      <c r="A62" t="s">
        <v>70</v>
      </c>
      <c r="B62" t="s">
        <v>50</v>
      </c>
      <c r="C62">
        <v>1</v>
      </c>
      <c r="G62">
        <v>27</v>
      </c>
      <c r="H62">
        <v>36.805185185185202</v>
      </c>
      <c r="I62">
        <v>9.8160725227597894</v>
      </c>
      <c r="J62">
        <v>19.82</v>
      </c>
      <c r="K62">
        <v>58.38</v>
      </c>
    </row>
    <row r="63" spans="1:11" x14ac:dyDescent="0.5">
      <c r="A63" t="s">
        <v>70</v>
      </c>
      <c r="B63" t="s">
        <v>51</v>
      </c>
      <c r="C63">
        <v>0</v>
      </c>
      <c r="D63">
        <v>1</v>
      </c>
      <c r="E63">
        <v>15</v>
      </c>
      <c r="F63">
        <v>55.5555555555556</v>
      </c>
    </row>
    <row r="64" spans="1:11" x14ac:dyDescent="0.5">
      <c r="A64" t="s">
        <v>70</v>
      </c>
      <c r="B64" t="s">
        <v>51</v>
      </c>
      <c r="C64">
        <v>0</v>
      </c>
      <c r="D64">
        <v>2</v>
      </c>
      <c r="E64">
        <v>12</v>
      </c>
      <c r="F64">
        <v>44.4444444444444</v>
      </c>
    </row>
    <row r="65" spans="1:11" x14ac:dyDescent="0.5">
      <c r="A65" t="s">
        <v>70</v>
      </c>
      <c r="B65" t="s">
        <v>52</v>
      </c>
      <c r="C65">
        <v>0</v>
      </c>
      <c r="D65">
        <v>1</v>
      </c>
      <c r="E65">
        <v>11</v>
      </c>
      <c r="F65">
        <v>40.740740740740698</v>
      </c>
    </row>
    <row r="66" spans="1:11" x14ac:dyDescent="0.5">
      <c r="A66" t="s">
        <v>70</v>
      </c>
      <c r="B66" t="s">
        <v>52</v>
      </c>
      <c r="C66">
        <v>0</v>
      </c>
      <c r="D66">
        <v>2</v>
      </c>
      <c r="E66">
        <v>8</v>
      </c>
      <c r="F66">
        <v>29.629629629629601</v>
      </c>
    </row>
    <row r="67" spans="1:11" x14ac:dyDescent="0.5">
      <c r="A67" t="s">
        <v>70</v>
      </c>
      <c r="B67" t="s">
        <v>52</v>
      </c>
      <c r="C67">
        <v>0</v>
      </c>
      <c r="D67">
        <v>3</v>
      </c>
      <c r="E67">
        <v>4</v>
      </c>
      <c r="F67">
        <v>14.814814814814801</v>
      </c>
    </row>
    <row r="68" spans="1:11" x14ac:dyDescent="0.5">
      <c r="A68" t="s">
        <v>70</v>
      </c>
      <c r="B68" t="s">
        <v>52</v>
      </c>
      <c r="C68">
        <v>0</v>
      </c>
      <c r="D68">
        <v>4</v>
      </c>
      <c r="E68">
        <v>4</v>
      </c>
      <c r="F68">
        <v>14.814814814814801</v>
      </c>
    </row>
    <row r="69" spans="1:11" x14ac:dyDescent="0.5">
      <c r="A69" t="s">
        <v>70</v>
      </c>
      <c r="B69" t="s">
        <v>53</v>
      </c>
      <c r="C69">
        <v>1</v>
      </c>
      <c r="G69">
        <v>26</v>
      </c>
      <c r="H69">
        <v>15.192307692307701</v>
      </c>
      <c r="I69">
        <v>3.8576597130304902</v>
      </c>
      <c r="J69">
        <v>5</v>
      </c>
      <c r="K69">
        <v>22</v>
      </c>
    </row>
    <row r="70" spans="1:11" x14ac:dyDescent="0.5">
      <c r="A70" t="s">
        <v>70</v>
      </c>
      <c r="B70" t="s">
        <v>54</v>
      </c>
      <c r="C70">
        <v>1</v>
      </c>
      <c r="G70">
        <v>27</v>
      </c>
      <c r="H70">
        <v>15.7777777777778</v>
      </c>
      <c r="I70">
        <v>3.2620584974867701</v>
      </c>
      <c r="J70">
        <v>12</v>
      </c>
      <c r="K70">
        <v>25</v>
      </c>
    </row>
    <row r="71" spans="1:11" x14ac:dyDescent="0.5">
      <c r="A71" t="s">
        <v>70</v>
      </c>
      <c r="B71" t="s">
        <v>55</v>
      </c>
      <c r="C71">
        <v>1</v>
      </c>
      <c r="G71">
        <v>0</v>
      </c>
      <c r="H71" t="s">
        <v>71</v>
      </c>
      <c r="J71" t="s">
        <v>72</v>
      </c>
      <c r="K71" t="e">
        <f t="shared" ref="K71:K76" si="0">-Inf</f>
        <v>#NAME?</v>
      </c>
    </row>
    <row r="72" spans="1:11" x14ac:dyDescent="0.5">
      <c r="A72" t="s">
        <v>70</v>
      </c>
      <c r="B72" t="s">
        <v>56</v>
      </c>
      <c r="C72">
        <v>1</v>
      </c>
      <c r="G72">
        <v>0</v>
      </c>
      <c r="H72" t="s">
        <v>71</v>
      </c>
      <c r="J72" t="s">
        <v>72</v>
      </c>
      <c r="K72" t="e">
        <f t="shared" si="0"/>
        <v>#NAME?</v>
      </c>
    </row>
    <row r="73" spans="1:11" x14ac:dyDescent="0.5">
      <c r="A73" t="s">
        <v>70</v>
      </c>
      <c r="B73" t="s">
        <v>57</v>
      </c>
      <c r="C73">
        <v>1</v>
      </c>
      <c r="G73">
        <v>0</v>
      </c>
      <c r="H73" t="s">
        <v>71</v>
      </c>
      <c r="J73" t="s">
        <v>72</v>
      </c>
      <c r="K73" t="e">
        <f t="shared" si="0"/>
        <v>#NAME?</v>
      </c>
    </row>
    <row r="74" spans="1:11" x14ac:dyDescent="0.5">
      <c r="A74" t="s">
        <v>70</v>
      </c>
      <c r="B74" t="s">
        <v>58</v>
      </c>
      <c r="C74">
        <v>1</v>
      </c>
      <c r="G74">
        <v>0</v>
      </c>
      <c r="H74" t="s">
        <v>71</v>
      </c>
      <c r="J74" t="s">
        <v>72</v>
      </c>
      <c r="K74" t="e">
        <f t="shared" si="0"/>
        <v>#NAME?</v>
      </c>
    </row>
    <row r="75" spans="1:11" x14ac:dyDescent="0.5">
      <c r="A75" t="s">
        <v>70</v>
      </c>
      <c r="B75" t="s">
        <v>59</v>
      </c>
      <c r="C75">
        <v>1</v>
      </c>
      <c r="G75">
        <v>0</v>
      </c>
      <c r="H75" t="s">
        <v>71</v>
      </c>
      <c r="J75" t="s">
        <v>72</v>
      </c>
      <c r="K75" t="e">
        <f t="shared" si="0"/>
        <v>#NAME?</v>
      </c>
    </row>
    <row r="76" spans="1:11" x14ac:dyDescent="0.5">
      <c r="A76" t="s">
        <v>70</v>
      </c>
      <c r="B76" t="s">
        <v>60</v>
      </c>
      <c r="C76">
        <v>1</v>
      </c>
      <c r="G76">
        <v>0</v>
      </c>
      <c r="H76" t="s">
        <v>71</v>
      </c>
      <c r="J76" t="s">
        <v>72</v>
      </c>
      <c r="K76" t="e">
        <f t="shared" si="0"/>
        <v>#NAME?</v>
      </c>
    </row>
    <row r="77" spans="1:11" x14ac:dyDescent="0.5">
      <c r="A77" t="s">
        <v>70</v>
      </c>
      <c r="B77" t="s">
        <v>73</v>
      </c>
      <c r="C77">
        <v>1</v>
      </c>
      <c r="G77">
        <v>27</v>
      </c>
      <c r="H77">
        <v>0.85514403292181096</v>
      </c>
      <c r="I77">
        <v>0.121890828174955</v>
      </c>
      <c r="J77">
        <v>0.53333333333333299</v>
      </c>
      <c r="K77">
        <v>1</v>
      </c>
    </row>
    <row r="78" spans="1:11" x14ac:dyDescent="0.5">
      <c r="A78" t="s">
        <v>70</v>
      </c>
      <c r="B78" t="s">
        <v>74</v>
      </c>
      <c r="C78">
        <v>1</v>
      </c>
      <c r="G78">
        <v>27</v>
      </c>
      <c r="H78">
        <v>0.83374485596707804</v>
      </c>
      <c r="I78">
        <v>0.122396204121288</v>
      </c>
      <c r="J78">
        <v>0.6</v>
      </c>
      <c r="K78">
        <v>1</v>
      </c>
    </row>
    <row r="79" spans="1:11" x14ac:dyDescent="0.5">
      <c r="A79" t="s">
        <v>70</v>
      </c>
      <c r="B79" t="s">
        <v>75</v>
      </c>
      <c r="C79">
        <v>1</v>
      </c>
      <c r="G79">
        <v>27</v>
      </c>
      <c r="H79">
        <v>0.44650205761316902</v>
      </c>
      <c r="I79">
        <v>0.14907237822939901</v>
      </c>
      <c r="J79">
        <v>3.3333333333333298E-2</v>
      </c>
      <c r="K79">
        <v>0.68888888888888899</v>
      </c>
    </row>
    <row r="80" spans="1:11" x14ac:dyDescent="0.5">
      <c r="A80" t="s">
        <v>70</v>
      </c>
      <c r="B80" t="s">
        <v>76</v>
      </c>
      <c r="C80">
        <v>1</v>
      </c>
      <c r="G80">
        <v>27</v>
      </c>
      <c r="H80">
        <v>0.51646090534979405</v>
      </c>
      <c r="I80">
        <v>0.164872691695608</v>
      </c>
      <c r="J80">
        <v>0.1</v>
      </c>
      <c r="K80">
        <v>0.83333333333333304</v>
      </c>
    </row>
    <row r="81" spans="1:11" x14ac:dyDescent="0.5">
      <c r="A81" t="s">
        <v>70</v>
      </c>
      <c r="B81" t="s">
        <v>61</v>
      </c>
      <c r="C81">
        <v>1</v>
      </c>
      <c r="G81">
        <v>27</v>
      </c>
      <c r="H81">
        <v>2.80680384402143</v>
      </c>
      <c r="I81">
        <v>1.1050390704995401</v>
      </c>
      <c r="J81">
        <v>0.78546200526695598</v>
      </c>
      <c r="K81">
        <v>4.5730959026219598</v>
      </c>
    </row>
    <row r="82" spans="1:11" x14ac:dyDescent="0.5">
      <c r="A82" t="s">
        <v>70</v>
      </c>
      <c r="B82" t="s">
        <v>62</v>
      </c>
      <c r="C82">
        <v>1</v>
      </c>
      <c r="G82">
        <v>27</v>
      </c>
      <c r="H82">
        <v>2.67711141046221</v>
      </c>
      <c r="I82">
        <v>1.1401252826492001</v>
      </c>
      <c r="J82">
        <v>0.86947626055837302</v>
      </c>
      <c r="K82">
        <v>4.5730959026219598</v>
      </c>
    </row>
    <row r="83" spans="1:11" x14ac:dyDescent="0.5">
      <c r="A83" t="s">
        <v>70</v>
      </c>
      <c r="B83" t="s">
        <v>63</v>
      </c>
      <c r="C83">
        <v>1</v>
      </c>
      <c r="G83">
        <v>27</v>
      </c>
      <c r="H83">
        <v>0.224397581370673</v>
      </c>
      <c r="I83">
        <v>0.67387753845422305</v>
      </c>
      <c r="J83">
        <v>-0.87826383452979195</v>
      </c>
      <c r="K83">
        <v>1.8938169486775001</v>
      </c>
    </row>
    <row r="84" spans="1:11" x14ac:dyDescent="0.5">
      <c r="A84" t="s">
        <v>70</v>
      </c>
      <c r="B84" t="s">
        <v>64</v>
      </c>
      <c r="C84">
        <v>1</v>
      </c>
      <c r="G84">
        <v>27</v>
      </c>
      <c r="H84">
        <v>-0.11309858397955699</v>
      </c>
      <c r="I84">
        <v>0.72925903589378105</v>
      </c>
      <c r="J84">
        <v>-1.35863762530322</v>
      </c>
      <c r="K84">
        <v>1.56408459244195</v>
      </c>
    </row>
    <row r="85" spans="1:11" x14ac:dyDescent="0.5">
      <c r="A85" t="s">
        <v>70</v>
      </c>
      <c r="B85" t="s">
        <v>65</v>
      </c>
      <c r="C85">
        <v>1</v>
      </c>
      <c r="G85">
        <v>27</v>
      </c>
      <c r="H85">
        <v>9.5061728395061801E-2</v>
      </c>
      <c r="I85">
        <v>0.122893777948423</v>
      </c>
      <c r="J85">
        <v>1.1111111111111099E-2</v>
      </c>
      <c r="K85">
        <v>0.4</v>
      </c>
    </row>
    <row r="86" spans="1:11" x14ac:dyDescent="0.5">
      <c r="A86" t="s">
        <v>70</v>
      </c>
      <c r="B86" t="s">
        <v>66</v>
      </c>
      <c r="C86">
        <v>1</v>
      </c>
      <c r="G86">
        <v>27</v>
      </c>
      <c r="H86">
        <v>0.18518518518518501</v>
      </c>
      <c r="I86">
        <v>0.19424287476497301</v>
      </c>
      <c r="J86">
        <v>1.1111111111111099E-2</v>
      </c>
      <c r="K86">
        <v>0.66666666666666696</v>
      </c>
    </row>
    <row r="87" spans="1:11" x14ac:dyDescent="0.5">
      <c r="A87" t="s">
        <v>70</v>
      </c>
      <c r="B87" t="s">
        <v>67</v>
      </c>
      <c r="C87">
        <v>1</v>
      </c>
      <c r="G87">
        <v>27</v>
      </c>
      <c r="H87">
        <v>0.79876543209876505</v>
      </c>
      <c r="I87">
        <v>0.23920835989333999</v>
      </c>
      <c r="J87">
        <v>6.6666666666666693E-2</v>
      </c>
      <c r="K87">
        <v>0.98888888888888904</v>
      </c>
    </row>
    <row r="88" spans="1:11" x14ac:dyDescent="0.5">
      <c r="A88" t="s">
        <v>70</v>
      </c>
      <c r="B88" t="s">
        <v>68</v>
      </c>
      <c r="C88">
        <v>1</v>
      </c>
      <c r="G88">
        <v>27</v>
      </c>
      <c r="H88">
        <v>0.84567901234567899</v>
      </c>
      <c r="I88">
        <v>0.210487909060629</v>
      </c>
      <c r="J88">
        <v>0.2</v>
      </c>
      <c r="K88">
        <v>0.98888888888888904</v>
      </c>
    </row>
    <row r="89" spans="1:11" x14ac:dyDescent="0.5">
      <c r="A89" t="s">
        <v>70</v>
      </c>
      <c r="B89" t="s">
        <v>121</v>
      </c>
      <c r="C89">
        <v>1</v>
      </c>
      <c r="G89">
        <v>27</v>
      </c>
      <c r="H89">
        <v>0.20123456790123401</v>
      </c>
      <c r="I89">
        <v>0.23920835989333999</v>
      </c>
      <c r="J89">
        <v>1.1111111111111001E-2</v>
      </c>
      <c r="K89">
        <v>0.93333333333333302</v>
      </c>
    </row>
    <row r="90" spans="1:11" x14ac:dyDescent="0.5">
      <c r="A90" t="s">
        <v>70</v>
      </c>
      <c r="B90" t="s">
        <v>122</v>
      </c>
      <c r="C90">
        <v>1</v>
      </c>
      <c r="G90">
        <v>27</v>
      </c>
      <c r="H90">
        <v>0.15432098765432101</v>
      </c>
      <c r="I90">
        <v>0.210487909060629</v>
      </c>
      <c r="J90">
        <v>1.1111111111111001E-2</v>
      </c>
      <c r="K90">
        <v>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0F028-165E-4BC8-8465-150A865EB20C}">
  <dimension ref="A2:D23"/>
  <sheetViews>
    <sheetView tabSelected="1" topLeftCell="A3" workbookViewId="0">
      <selection activeCell="I23" sqref="I23"/>
    </sheetView>
  </sheetViews>
  <sheetFormatPr defaultRowHeight="14.35" x14ac:dyDescent="0.5"/>
  <cols>
    <col min="1" max="1" width="20.703125" customWidth="1"/>
    <col min="2" max="4" width="11.9375" customWidth="1"/>
  </cols>
  <sheetData>
    <row r="2" spans="1:4" x14ac:dyDescent="0.5">
      <c r="A2" s="28" t="s">
        <v>131</v>
      </c>
      <c r="B2" s="28"/>
      <c r="C2" s="28"/>
      <c r="D2" s="28"/>
    </row>
    <row r="3" spans="1:4" x14ac:dyDescent="0.5">
      <c r="A3" s="33"/>
      <c r="B3" s="34" t="s">
        <v>125</v>
      </c>
      <c r="C3" s="34" t="s">
        <v>126</v>
      </c>
      <c r="D3" s="34" t="s">
        <v>127</v>
      </c>
    </row>
    <row r="4" spans="1:4" x14ac:dyDescent="0.5">
      <c r="A4" s="9" t="s">
        <v>116</v>
      </c>
      <c r="B4" s="10">
        <v>0</v>
      </c>
      <c r="C4" s="10">
        <v>1.7000000000000001E-2</v>
      </c>
      <c r="D4" s="10">
        <v>1.7999999999999999E-2</v>
      </c>
    </row>
    <row r="5" spans="1:4" x14ac:dyDescent="0.5">
      <c r="A5" s="9" t="s">
        <v>115</v>
      </c>
      <c r="B5" s="10">
        <v>1</v>
      </c>
      <c r="C5" s="10">
        <v>3.0000000000000001E-3</v>
      </c>
      <c r="D5" s="10">
        <v>1E-3</v>
      </c>
    </row>
    <row r="6" spans="1:4" x14ac:dyDescent="0.5">
      <c r="A6" s="9" t="s">
        <v>117</v>
      </c>
      <c r="B6" s="10">
        <v>1</v>
      </c>
      <c r="C6" s="10">
        <v>0.44</v>
      </c>
      <c r="D6" s="10">
        <v>4.0000000000000001E-3</v>
      </c>
    </row>
    <row r="7" spans="1:4" x14ac:dyDescent="0.5">
      <c r="A7" s="9" t="s">
        <v>107</v>
      </c>
      <c r="B7" s="10">
        <v>0.498</v>
      </c>
      <c r="C7" s="10">
        <v>0.371</v>
      </c>
      <c r="D7" s="10">
        <v>0</v>
      </c>
    </row>
    <row r="8" spans="1:4" x14ac:dyDescent="0.5">
      <c r="A8" s="9" t="s">
        <v>128</v>
      </c>
      <c r="B8" s="10">
        <v>0</v>
      </c>
      <c r="C8" s="10">
        <v>0.02</v>
      </c>
      <c r="D8" s="10">
        <v>2E-3</v>
      </c>
    </row>
    <row r="9" spans="1:4" x14ac:dyDescent="0.5">
      <c r="A9" s="9" t="s">
        <v>129</v>
      </c>
      <c r="B9" s="10">
        <v>1</v>
      </c>
      <c r="C9" s="10">
        <v>0.317</v>
      </c>
      <c r="D9" s="10">
        <v>0</v>
      </c>
    </row>
    <row r="10" spans="1:4" ht="61" customHeight="1" x14ac:dyDescent="0.5">
      <c r="A10" s="23" t="s">
        <v>130</v>
      </c>
      <c r="B10" s="23"/>
      <c r="C10" s="23"/>
      <c r="D10" s="23"/>
    </row>
    <row r="15" spans="1:4" ht="14.7" thickBot="1" x14ac:dyDescent="0.55000000000000004">
      <c r="A15" s="39" t="s">
        <v>133</v>
      </c>
      <c r="B15" s="39"/>
      <c r="C15" s="39"/>
      <c r="D15" s="39"/>
    </row>
    <row r="16" spans="1:4" ht="14.7" thickBot="1" x14ac:dyDescent="0.55000000000000004">
      <c r="A16" s="35"/>
      <c r="B16" s="36" t="s">
        <v>125</v>
      </c>
      <c r="C16" s="36" t="s">
        <v>126</v>
      </c>
      <c r="D16" s="36" t="s">
        <v>127</v>
      </c>
    </row>
    <row r="17" spans="1:4" x14ac:dyDescent="0.5">
      <c r="A17" s="37" t="s">
        <v>116</v>
      </c>
      <c r="B17" s="38" t="s">
        <v>132</v>
      </c>
      <c r="C17" s="38">
        <v>0.88700000000000001</v>
      </c>
      <c r="D17" s="38">
        <v>0.80900000000000005</v>
      </c>
    </row>
    <row r="18" spans="1:4" x14ac:dyDescent="0.5">
      <c r="A18" s="37" t="s">
        <v>115</v>
      </c>
      <c r="B18" s="38" t="s">
        <v>132</v>
      </c>
      <c r="C18" s="38">
        <v>0.95499999999999996</v>
      </c>
      <c r="D18" s="38">
        <v>0.78200000000000003</v>
      </c>
    </row>
    <row r="19" spans="1:4" x14ac:dyDescent="0.5">
      <c r="A19" s="37" t="s">
        <v>117</v>
      </c>
      <c r="B19" s="38" t="s">
        <v>132</v>
      </c>
      <c r="C19" s="38">
        <v>1</v>
      </c>
      <c r="D19" s="38">
        <v>0.97699999999999998</v>
      </c>
    </row>
    <row r="20" spans="1:4" x14ac:dyDescent="0.5">
      <c r="A20" s="37" t="s">
        <v>107</v>
      </c>
      <c r="B20" s="38" t="s">
        <v>132</v>
      </c>
      <c r="C20" s="38">
        <v>1</v>
      </c>
      <c r="D20" s="38">
        <v>0.75800000000000001</v>
      </c>
    </row>
    <row r="21" spans="1:4" x14ac:dyDescent="0.5">
      <c r="A21" s="37" t="s">
        <v>128</v>
      </c>
      <c r="B21" s="38" t="s">
        <v>132</v>
      </c>
      <c r="C21" s="38">
        <v>0.89400000000000002</v>
      </c>
      <c r="D21" s="38">
        <v>0.60199999999999998</v>
      </c>
    </row>
    <row r="22" spans="1:4" ht="14.7" thickBot="1" x14ac:dyDescent="0.55000000000000004">
      <c r="A22" s="37" t="s">
        <v>129</v>
      </c>
      <c r="B22" s="38" t="s">
        <v>132</v>
      </c>
      <c r="C22" s="38">
        <v>1</v>
      </c>
      <c r="D22" s="38">
        <v>0.86199999999999999</v>
      </c>
    </row>
    <row r="23" spans="1:4" ht="75" customHeight="1" x14ac:dyDescent="0.5">
      <c r="A23" s="40" t="s">
        <v>134</v>
      </c>
      <c r="B23" s="40"/>
      <c r="C23" s="40"/>
      <c r="D23" s="40"/>
    </row>
  </sheetData>
  <mergeCells count="4">
    <mergeCell ref="A10:D10"/>
    <mergeCell ref="A2:D2"/>
    <mergeCell ref="A15:D15"/>
    <mergeCell ref="A23:D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FBB8-7765-42DE-993F-87B1981435A0}">
  <dimension ref="A1:H49"/>
  <sheetViews>
    <sheetView workbookViewId="0">
      <selection sqref="A1:H49"/>
    </sheetView>
  </sheetViews>
  <sheetFormatPr defaultRowHeight="14.35" x14ac:dyDescent="0.5"/>
  <cols>
    <col min="1" max="1" width="14.1171875" bestFit="1" customWidth="1"/>
  </cols>
  <sheetData>
    <row r="1" spans="1:8" x14ac:dyDescent="0.5">
      <c r="A1" t="s">
        <v>93</v>
      </c>
      <c r="B1" t="s">
        <v>94</v>
      </c>
      <c r="C1" t="s">
        <v>90</v>
      </c>
      <c r="D1" t="s">
        <v>89</v>
      </c>
      <c r="E1" t="s">
        <v>91</v>
      </c>
      <c r="F1" t="s">
        <v>92</v>
      </c>
      <c r="G1" t="s">
        <v>95</v>
      </c>
      <c r="H1" t="s">
        <v>96</v>
      </c>
    </row>
    <row r="2" spans="1:8" x14ac:dyDescent="0.5">
      <c r="A2" t="s">
        <v>100</v>
      </c>
      <c r="B2" t="s">
        <v>98</v>
      </c>
      <c r="C2">
        <v>-0.182388325884175</v>
      </c>
      <c r="D2">
        <v>0.15251483401715499</v>
      </c>
      <c r="E2">
        <v>-0.434119465240345</v>
      </c>
      <c r="F2">
        <v>6.9342813471995404E-2</v>
      </c>
      <c r="G2">
        <v>-0.20509527326024499</v>
      </c>
      <c r="H2">
        <v>0.10685590013358499</v>
      </c>
    </row>
    <row r="3" spans="1:8" x14ac:dyDescent="0.5">
      <c r="A3" t="s">
        <v>100</v>
      </c>
      <c r="B3" t="s">
        <v>57</v>
      </c>
      <c r="C3">
        <v>0.10395899522654301</v>
      </c>
      <c r="D3">
        <v>0.417465752880886</v>
      </c>
      <c r="E3">
        <v>-0.15067931662961601</v>
      </c>
      <c r="F3">
        <v>0.35859730708270199</v>
      </c>
      <c r="G3">
        <v>-5.1424410101655597E-2</v>
      </c>
      <c r="H3">
        <v>0.68896498434232001</v>
      </c>
    </row>
    <row r="4" spans="1:8" x14ac:dyDescent="0.5">
      <c r="A4" t="s">
        <v>100</v>
      </c>
      <c r="B4" t="s">
        <v>56</v>
      </c>
      <c r="C4">
        <v>-0.109378373686341</v>
      </c>
      <c r="D4">
        <v>0.39346891486741398</v>
      </c>
      <c r="E4">
        <v>-0.36386783298717801</v>
      </c>
      <c r="F4">
        <v>0.14511108561449501</v>
      </c>
      <c r="G4">
        <v>-0.128290629142949</v>
      </c>
      <c r="H4">
        <v>0.31632784671902903</v>
      </c>
    </row>
    <row r="5" spans="1:8" x14ac:dyDescent="0.5">
      <c r="A5" t="s">
        <v>100</v>
      </c>
      <c r="B5" t="s">
        <v>55</v>
      </c>
      <c r="C5">
        <v>-4.0260832160044002E-2</v>
      </c>
      <c r="D5">
        <v>0.75603740043463696</v>
      </c>
      <c r="E5">
        <v>-0.29828879276335701</v>
      </c>
      <c r="F5">
        <v>0.21776712844327001</v>
      </c>
      <c r="G5">
        <v>-8.7381838761198094E-2</v>
      </c>
      <c r="H5">
        <v>0.49946205516290598</v>
      </c>
    </row>
    <row r="6" spans="1:8" x14ac:dyDescent="0.5">
      <c r="A6" t="s">
        <v>63</v>
      </c>
      <c r="B6" t="s">
        <v>98</v>
      </c>
      <c r="C6">
        <v>0.143240413049359</v>
      </c>
      <c r="D6">
        <v>0.26273275257977102</v>
      </c>
      <c r="E6">
        <v>-0.110144996363214</v>
      </c>
      <c r="F6">
        <v>0.39662582246193201</v>
      </c>
      <c r="G6">
        <v>0.117481270199604</v>
      </c>
      <c r="H6">
        <v>0.35914962837023201</v>
      </c>
    </row>
    <row r="7" spans="1:8" x14ac:dyDescent="0.5">
      <c r="A7" t="s">
        <v>63</v>
      </c>
      <c r="B7" t="s">
        <v>57</v>
      </c>
      <c r="C7">
        <v>7.86784578367343E-3</v>
      </c>
      <c r="D7">
        <v>0.95120035070407005</v>
      </c>
      <c r="E7">
        <v>-0.24814979458174899</v>
      </c>
      <c r="F7">
        <v>0.26388548614909602</v>
      </c>
      <c r="G7">
        <v>0.10482580929853701</v>
      </c>
      <c r="H7">
        <v>0.41357202490741402</v>
      </c>
    </row>
    <row r="8" spans="1:8" x14ac:dyDescent="0.5">
      <c r="A8" t="s">
        <v>63</v>
      </c>
      <c r="B8" t="s">
        <v>56</v>
      </c>
      <c r="C8">
        <v>0.17905209205622899</v>
      </c>
      <c r="D8">
        <v>0.16028947870141</v>
      </c>
      <c r="E8">
        <v>-7.2835995941441897E-2</v>
      </c>
      <c r="F8">
        <v>0.4309401800539</v>
      </c>
      <c r="G8">
        <v>0.14141729686757801</v>
      </c>
      <c r="H8">
        <v>0.26891921774113797</v>
      </c>
    </row>
    <row r="9" spans="1:8" x14ac:dyDescent="0.5">
      <c r="A9" t="s">
        <v>63</v>
      </c>
      <c r="B9" t="s">
        <v>55</v>
      </c>
      <c r="C9">
        <v>4.4428322980231997E-3</v>
      </c>
      <c r="D9">
        <v>0.97266095943122299</v>
      </c>
      <c r="E9">
        <v>-0.25379195745100203</v>
      </c>
      <c r="F9">
        <v>0.26267762204704798</v>
      </c>
      <c r="G9">
        <v>3.1447758961403098E-3</v>
      </c>
      <c r="H9">
        <v>0.98064672823167498</v>
      </c>
    </row>
    <row r="10" spans="1:8" x14ac:dyDescent="0.5">
      <c r="A10" t="s">
        <v>102</v>
      </c>
      <c r="B10" t="s">
        <v>98</v>
      </c>
      <c r="C10">
        <v>0.10624932387519601</v>
      </c>
      <c r="D10">
        <v>0.40722329585099298</v>
      </c>
      <c r="E10">
        <v>-0.14832701341670401</v>
      </c>
      <c r="F10">
        <v>0.36082566116709602</v>
      </c>
      <c r="G10">
        <v>9.8356248615705397E-2</v>
      </c>
      <c r="H10">
        <v>0.44313638732345501</v>
      </c>
    </row>
    <row r="11" spans="1:8" x14ac:dyDescent="0.5">
      <c r="A11" t="s">
        <v>102</v>
      </c>
      <c r="B11" t="s">
        <v>57</v>
      </c>
      <c r="C11">
        <v>-4.9070455247408303E-3</v>
      </c>
      <c r="D11">
        <v>0.96955314575933205</v>
      </c>
      <c r="E11">
        <v>-0.26092952793711999</v>
      </c>
      <c r="F11">
        <v>0.25111543688763799</v>
      </c>
      <c r="G11">
        <v>5.9526733485596998E-2</v>
      </c>
      <c r="H11">
        <v>0.64305707224403197</v>
      </c>
    </row>
    <row r="12" spans="1:8" x14ac:dyDescent="0.5">
      <c r="A12" t="s">
        <v>102</v>
      </c>
      <c r="B12" t="s">
        <v>56</v>
      </c>
      <c r="C12">
        <v>0.121641793668765</v>
      </c>
      <c r="D12">
        <v>0.342264447557936</v>
      </c>
      <c r="E12">
        <v>-0.13248254192961501</v>
      </c>
      <c r="F12">
        <v>0.37576612926714398</v>
      </c>
      <c r="G12">
        <v>0.14906764395856401</v>
      </c>
      <c r="H12">
        <v>0.243605141117406</v>
      </c>
    </row>
    <row r="13" spans="1:8" x14ac:dyDescent="0.5">
      <c r="A13" t="s">
        <v>102</v>
      </c>
      <c r="B13" t="s">
        <v>55</v>
      </c>
      <c r="C13">
        <v>4.8024078521190602E-2</v>
      </c>
      <c r="D13">
        <v>0.71089049150239303</v>
      </c>
      <c r="E13">
        <v>-0.20991530003499601</v>
      </c>
      <c r="F13">
        <v>0.30596345707737699</v>
      </c>
      <c r="G13">
        <v>7.6478980761375895E-2</v>
      </c>
      <c r="H13">
        <v>0.55464964976269304</v>
      </c>
    </row>
    <row r="14" spans="1:8" x14ac:dyDescent="0.5">
      <c r="A14" t="s">
        <v>61</v>
      </c>
      <c r="B14" t="s">
        <v>98</v>
      </c>
      <c r="C14">
        <v>-0.29732265462915702</v>
      </c>
      <c r="D14">
        <v>1.79593045529764E-2</v>
      </c>
      <c r="E14">
        <v>-0.54176999136966897</v>
      </c>
      <c r="F14">
        <v>-5.2875317888645301E-2</v>
      </c>
      <c r="G14">
        <v>-0.30293930051184398</v>
      </c>
      <c r="H14">
        <v>1.5806084554751899E-2</v>
      </c>
    </row>
    <row r="15" spans="1:8" x14ac:dyDescent="0.5">
      <c r="A15" t="s">
        <v>61</v>
      </c>
      <c r="B15" t="s">
        <v>57</v>
      </c>
      <c r="C15">
        <v>-7.8777794398773998E-2</v>
      </c>
      <c r="D15">
        <v>0.53940492394932404</v>
      </c>
      <c r="E15">
        <v>-0.33400768309973</v>
      </c>
      <c r="F15">
        <v>0.17645209430218201</v>
      </c>
      <c r="G15">
        <v>-2.5172881505345902E-2</v>
      </c>
      <c r="H15">
        <v>0.84474050239457998</v>
      </c>
    </row>
    <row r="16" spans="1:8" x14ac:dyDescent="0.5">
      <c r="A16" t="s">
        <v>61</v>
      </c>
      <c r="B16" t="s">
        <v>56</v>
      </c>
      <c r="C16">
        <v>-0.35035319356092798</v>
      </c>
      <c r="D16">
        <v>4.8781134546665699E-3</v>
      </c>
      <c r="E16">
        <v>-0.59015125885055997</v>
      </c>
      <c r="F16">
        <v>-0.110555128271295</v>
      </c>
      <c r="G16">
        <v>-0.386115862854571</v>
      </c>
      <c r="H16">
        <v>1.7750256865924699E-3</v>
      </c>
    </row>
    <row r="17" spans="1:8" x14ac:dyDescent="0.5">
      <c r="A17" t="s">
        <v>61</v>
      </c>
      <c r="B17" t="s">
        <v>55</v>
      </c>
      <c r="C17">
        <v>-0.29709665086278497</v>
      </c>
      <c r="D17">
        <v>1.90295977149481E-2</v>
      </c>
      <c r="E17">
        <v>-0.54367390509826297</v>
      </c>
      <c r="F17">
        <v>-5.0519396627305597E-2</v>
      </c>
      <c r="G17">
        <v>-0.369668549909422</v>
      </c>
      <c r="H17">
        <v>3.1059170632839399E-3</v>
      </c>
    </row>
    <row r="18" spans="1:8" x14ac:dyDescent="0.5">
      <c r="A18" t="s">
        <v>103</v>
      </c>
      <c r="B18" t="s">
        <v>98</v>
      </c>
      <c r="C18">
        <v>3.8433675564289997E-2</v>
      </c>
      <c r="D18">
        <v>0.76489458535439203</v>
      </c>
      <c r="E18">
        <v>-0.217402725666275</v>
      </c>
      <c r="F18">
        <v>0.29427007679485501</v>
      </c>
      <c r="G18">
        <v>8.0233609065153602E-2</v>
      </c>
      <c r="H18">
        <v>0.53191136585415399</v>
      </c>
    </row>
    <row r="19" spans="1:8" x14ac:dyDescent="0.5">
      <c r="A19" t="s">
        <v>103</v>
      </c>
      <c r="B19" t="s">
        <v>57</v>
      </c>
      <c r="C19">
        <v>-6.3979059045158604E-2</v>
      </c>
      <c r="D19">
        <v>0.61837135627080198</v>
      </c>
      <c r="E19">
        <v>-0.31948008930361499</v>
      </c>
      <c r="F19">
        <v>0.191521971213298</v>
      </c>
      <c r="G19">
        <v>-3.6058516713179098E-2</v>
      </c>
      <c r="H19">
        <v>0.77904361445352999</v>
      </c>
    </row>
    <row r="20" spans="1:8" x14ac:dyDescent="0.5">
      <c r="A20" t="s">
        <v>103</v>
      </c>
      <c r="B20" t="s">
        <v>56</v>
      </c>
      <c r="C20">
        <v>8.9238604488720494E-3</v>
      </c>
      <c r="D20">
        <v>0.94466015423768102</v>
      </c>
      <c r="E20">
        <v>-0.24709150987669401</v>
      </c>
      <c r="F20">
        <v>0.26493923077443798</v>
      </c>
      <c r="G20">
        <v>3.9569476461645901E-2</v>
      </c>
      <c r="H20">
        <v>0.75815515603554395</v>
      </c>
    </row>
    <row r="21" spans="1:8" x14ac:dyDescent="0.5">
      <c r="A21" t="s">
        <v>103</v>
      </c>
      <c r="B21" t="s">
        <v>55</v>
      </c>
      <c r="C21">
        <v>0.107874086441215</v>
      </c>
      <c r="D21">
        <v>0.403968615004488</v>
      </c>
      <c r="E21">
        <v>-0.14885632465240001</v>
      </c>
      <c r="F21">
        <v>0.36460449753482999</v>
      </c>
      <c r="G21">
        <v>6.5033970564660995E-2</v>
      </c>
      <c r="H21">
        <v>0.61553467592813504</v>
      </c>
    </row>
    <row r="22" spans="1:8" x14ac:dyDescent="0.5">
      <c r="A22" t="s">
        <v>65</v>
      </c>
      <c r="B22" t="s">
        <v>98</v>
      </c>
      <c r="C22">
        <v>1.7542004707441598E-2</v>
      </c>
      <c r="D22">
        <v>0.89145952706704401</v>
      </c>
      <c r="E22">
        <v>-0.23844416478423799</v>
      </c>
      <c r="F22">
        <v>0.27352817419912101</v>
      </c>
      <c r="G22">
        <v>0.142596357761515</v>
      </c>
      <c r="H22">
        <v>0.26490721367484599</v>
      </c>
    </row>
    <row r="23" spans="1:8" x14ac:dyDescent="0.5">
      <c r="A23" t="s">
        <v>65</v>
      </c>
      <c r="B23" t="s">
        <v>57</v>
      </c>
      <c r="C23">
        <v>3.3922277895769799E-2</v>
      </c>
      <c r="D23">
        <v>0.79183080427207797</v>
      </c>
      <c r="E23">
        <v>-0.221955937576476</v>
      </c>
      <c r="F23">
        <v>0.289800493368016</v>
      </c>
      <c r="G23">
        <v>-7.7489341151181196E-2</v>
      </c>
      <c r="H23">
        <v>0.54607974253432401</v>
      </c>
    </row>
    <row r="24" spans="1:8" x14ac:dyDescent="0.5">
      <c r="A24" t="s">
        <v>65</v>
      </c>
      <c r="B24" t="s">
        <v>56</v>
      </c>
      <c r="C24">
        <v>8.8894928523484094E-3</v>
      </c>
      <c r="D24">
        <v>0.94487294753582496</v>
      </c>
      <c r="E24">
        <v>-0.24712595584602601</v>
      </c>
      <c r="F24">
        <v>0.26490494155072303</v>
      </c>
      <c r="G24">
        <v>0.18052077987305101</v>
      </c>
      <c r="H24">
        <v>0.15683166168079199</v>
      </c>
    </row>
    <row r="25" spans="1:8" x14ac:dyDescent="0.5">
      <c r="A25" t="s">
        <v>65</v>
      </c>
      <c r="B25" t="s">
        <v>55</v>
      </c>
      <c r="C25">
        <v>7.3942439542894506E-2</v>
      </c>
      <c r="D25">
        <v>0.56789301415611804</v>
      </c>
      <c r="E25">
        <v>-0.18358797696031501</v>
      </c>
      <c r="F25">
        <v>0.33147285604610399</v>
      </c>
      <c r="G25">
        <v>0.30558498636876003</v>
      </c>
      <c r="H25">
        <v>1.5722501248514799E-2</v>
      </c>
    </row>
    <row r="26" spans="1:8" x14ac:dyDescent="0.5">
      <c r="A26" t="s">
        <v>97</v>
      </c>
      <c r="B26" t="s">
        <v>98</v>
      </c>
      <c r="C26">
        <v>0.27364847747170401</v>
      </c>
      <c r="D26">
        <v>2.9996959822375099E-2</v>
      </c>
      <c r="E26">
        <v>2.7395466730569501E-2</v>
      </c>
      <c r="F26">
        <v>0.51990148821283799</v>
      </c>
      <c r="G26">
        <v>0.29452103288500397</v>
      </c>
      <c r="H26">
        <v>1.9123876457973699E-2</v>
      </c>
    </row>
    <row r="27" spans="1:8" x14ac:dyDescent="0.5">
      <c r="A27" t="s">
        <v>97</v>
      </c>
      <c r="B27" t="s">
        <v>57</v>
      </c>
      <c r="C27">
        <v>-6.6947419935373897E-2</v>
      </c>
      <c r="D27">
        <v>0.60214155911536904</v>
      </c>
      <c r="E27">
        <v>-0.32239859268447901</v>
      </c>
      <c r="F27">
        <v>0.188503752813731</v>
      </c>
      <c r="G27">
        <v>4.0185367368317897E-2</v>
      </c>
      <c r="H27">
        <v>0.75450812790699695</v>
      </c>
    </row>
    <row r="28" spans="1:8" x14ac:dyDescent="0.5">
      <c r="A28" t="s">
        <v>97</v>
      </c>
      <c r="B28" t="s">
        <v>56</v>
      </c>
      <c r="C28">
        <v>0.31090386743028198</v>
      </c>
      <c r="D28">
        <v>1.3134328467081499E-2</v>
      </c>
      <c r="E28">
        <v>6.7566580502680301E-2</v>
      </c>
      <c r="F28">
        <v>0.55424115435788301</v>
      </c>
      <c r="G28">
        <v>0.31669433012558501</v>
      </c>
      <c r="H28">
        <v>1.1445198457202399E-2</v>
      </c>
    </row>
    <row r="29" spans="1:8" x14ac:dyDescent="0.5">
      <c r="A29" t="s">
        <v>97</v>
      </c>
      <c r="B29" t="s">
        <v>55</v>
      </c>
      <c r="C29">
        <v>0.19078838851338301</v>
      </c>
      <c r="D29">
        <v>0.13744360726933999</v>
      </c>
      <c r="E29">
        <v>-6.2705436974397497E-2</v>
      </c>
      <c r="F29">
        <v>0.44428221400116302</v>
      </c>
      <c r="G29">
        <v>0.19553677273944101</v>
      </c>
      <c r="H29">
        <v>0.127741526898109</v>
      </c>
    </row>
    <row r="30" spans="1:8" x14ac:dyDescent="0.5">
      <c r="A30" t="s">
        <v>67</v>
      </c>
      <c r="B30" t="s">
        <v>98</v>
      </c>
      <c r="C30">
        <v>-0.28890534279173002</v>
      </c>
      <c r="D30">
        <v>2.1652920655646401E-2</v>
      </c>
      <c r="E30">
        <v>-0.53401338030713896</v>
      </c>
      <c r="F30">
        <v>-4.3797305276321502E-2</v>
      </c>
      <c r="G30">
        <v>-0.29820321905442798</v>
      </c>
      <c r="H30">
        <v>1.7606020288405699E-2</v>
      </c>
    </row>
    <row r="31" spans="1:8" x14ac:dyDescent="0.5">
      <c r="A31" t="s">
        <v>67</v>
      </c>
      <c r="B31" t="s">
        <v>57</v>
      </c>
      <c r="C31">
        <v>-6.0835808378422097E-2</v>
      </c>
      <c r="D31">
        <v>0.635757409615616</v>
      </c>
      <c r="E31">
        <v>-0.31638715932668698</v>
      </c>
      <c r="F31">
        <v>0.194715542569843</v>
      </c>
      <c r="G31">
        <v>-7.6868116010374396E-2</v>
      </c>
      <c r="H31">
        <v>0.54931219531738795</v>
      </c>
    </row>
    <row r="32" spans="1:8" x14ac:dyDescent="0.5">
      <c r="A32" t="s">
        <v>67</v>
      </c>
      <c r="B32" t="s">
        <v>56</v>
      </c>
      <c r="C32">
        <v>-0.35946478483801803</v>
      </c>
      <c r="D32">
        <v>3.8107351357503701E-3</v>
      </c>
      <c r="E32">
        <v>-0.59837725563912403</v>
      </c>
      <c r="F32">
        <v>-0.12055231403691199</v>
      </c>
      <c r="G32">
        <v>-0.36342982131858997</v>
      </c>
      <c r="H32">
        <v>3.4148702327211301E-3</v>
      </c>
    </row>
    <row r="33" spans="1:8" x14ac:dyDescent="0.5">
      <c r="A33" t="s">
        <v>67</v>
      </c>
      <c r="B33" t="s">
        <v>55</v>
      </c>
      <c r="C33">
        <v>-0.20122563286957201</v>
      </c>
      <c r="D33">
        <v>0.11681201519395</v>
      </c>
      <c r="E33">
        <v>-0.45418070511640002</v>
      </c>
      <c r="F33">
        <v>5.1729439377256402E-2</v>
      </c>
      <c r="G33">
        <v>-0.23984115804932399</v>
      </c>
      <c r="H33">
        <v>6.04380159823934E-2</v>
      </c>
    </row>
    <row r="34" spans="1:8" x14ac:dyDescent="0.5">
      <c r="A34" t="s">
        <v>101</v>
      </c>
      <c r="B34" t="s">
        <v>98</v>
      </c>
      <c r="C34">
        <v>0.121981293633417</v>
      </c>
      <c r="D34">
        <v>0.34090882144208801</v>
      </c>
      <c r="E34">
        <v>-0.13213237458645599</v>
      </c>
      <c r="F34">
        <v>0.37609496185329</v>
      </c>
      <c r="G34">
        <v>8.9733615758232604E-2</v>
      </c>
      <c r="H34">
        <v>0.48430908474470102</v>
      </c>
    </row>
    <row r="35" spans="1:8" x14ac:dyDescent="0.5">
      <c r="A35" t="s">
        <v>101</v>
      </c>
      <c r="B35" t="s">
        <v>57</v>
      </c>
      <c r="C35">
        <v>1.27560383594728E-2</v>
      </c>
      <c r="D35">
        <v>0.92096007862734897</v>
      </c>
      <c r="E35">
        <v>-0.24324869586231901</v>
      </c>
      <c r="F35">
        <v>0.26876077258126502</v>
      </c>
      <c r="G35">
        <v>7.8715716371878505E-2</v>
      </c>
      <c r="H35">
        <v>0.539725602406946</v>
      </c>
    </row>
    <row r="36" spans="1:8" x14ac:dyDescent="0.5">
      <c r="A36" t="s">
        <v>101</v>
      </c>
      <c r="B36" t="s">
        <v>56</v>
      </c>
      <c r="C36">
        <v>0.163096318842503</v>
      </c>
      <c r="D36">
        <v>0.20153682077909299</v>
      </c>
      <c r="E36">
        <v>-8.9501102460736698E-2</v>
      </c>
      <c r="F36">
        <v>0.41569374014574301</v>
      </c>
      <c r="G36">
        <v>0.14982012322393901</v>
      </c>
      <c r="H36">
        <v>0.241206601571265</v>
      </c>
    </row>
    <row r="37" spans="1:8" x14ac:dyDescent="0.5">
      <c r="A37" t="s">
        <v>101</v>
      </c>
      <c r="B37" t="s">
        <v>55</v>
      </c>
      <c r="C37">
        <v>2.2669335357371801E-2</v>
      </c>
      <c r="D37">
        <v>0.861167383091197</v>
      </c>
      <c r="E37">
        <v>-0.235501640594799</v>
      </c>
      <c r="F37">
        <v>0.28084031130954201</v>
      </c>
      <c r="G37">
        <v>5.7696683355870901E-2</v>
      </c>
      <c r="H37">
        <v>0.65600905502461004</v>
      </c>
    </row>
    <row r="38" spans="1:8" x14ac:dyDescent="0.5">
      <c r="A38" t="s">
        <v>73</v>
      </c>
      <c r="B38" t="s">
        <v>98</v>
      </c>
      <c r="C38">
        <v>-0.24106490147749701</v>
      </c>
      <c r="D38">
        <v>5.7007940328108901E-2</v>
      </c>
      <c r="E38">
        <v>-0.48954001564136401</v>
      </c>
      <c r="F38">
        <v>7.4102126863708501E-3</v>
      </c>
      <c r="G38">
        <v>-0.28532630815446097</v>
      </c>
      <c r="H38">
        <v>2.3408547843076E-2</v>
      </c>
    </row>
    <row r="39" spans="1:8" x14ac:dyDescent="0.5">
      <c r="A39" t="s">
        <v>73</v>
      </c>
      <c r="B39" t="s">
        <v>57</v>
      </c>
      <c r="C39">
        <v>-7.4567034636017895E-2</v>
      </c>
      <c r="D39">
        <v>0.56136506944988496</v>
      </c>
      <c r="E39">
        <v>-0.32987982518516701</v>
      </c>
      <c r="F39">
        <v>0.180745755913131</v>
      </c>
      <c r="G39">
        <v>-2.0290054626432401E-2</v>
      </c>
      <c r="H39">
        <v>0.87458402002115498</v>
      </c>
    </row>
    <row r="40" spans="1:8" x14ac:dyDescent="0.5">
      <c r="A40" t="s">
        <v>73</v>
      </c>
      <c r="B40" t="s">
        <v>56</v>
      </c>
      <c r="C40">
        <v>-0.29010285552696402</v>
      </c>
      <c r="D40">
        <v>2.1091033240679201E-2</v>
      </c>
      <c r="E40">
        <v>-0.53511816178853699</v>
      </c>
      <c r="F40">
        <v>-4.5087549265392102E-2</v>
      </c>
      <c r="G40">
        <v>-0.37605161169394302</v>
      </c>
      <c r="H40">
        <v>2.3864398005407198E-3</v>
      </c>
    </row>
    <row r="41" spans="1:8" x14ac:dyDescent="0.5">
      <c r="A41" t="s">
        <v>73</v>
      </c>
      <c r="B41" t="s">
        <v>55</v>
      </c>
      <c r="C41">
        <v>-0.21853796326229699</v>
      </c>
      <c r="D41">
        <v>8.7925419400411306E-2</v>
      </c>
      <c r="E41">
        <v>-0.47053330423887801</v>
      </c>
      <c r="F41">
        <v>3.34573777142834E-2</v>
      </c>
      <c r="G41">
        <v>-0.37929890074431699</v>
      </c>
      <c r="H41">
        <v>2.3633481920731199E-3</v>
      </c>
    </row>
    <row r="42" spans="1:8" x14ac:dyDescent="0.5">
      <c r="A42" t="s">
        <v>99</v>
      </c>
      <c r="B42" t="s">
        <v>98</v>
      </c>
      <c r="C42">
        <v>0.196143514341617</v>
      </c>
      <c r="D42">
        <v>0.123396330623016</v>
      </c>
      <c r="E42">
        <v>-5.4908804988895998E-2</v>
      </c>
      <c r="F42">
        <v>0.44719583367213001</v>
      </c>
      <c r="G42">
        <v>0.20653711454832799</v>
      </c>
      <c r="H42">
        <v>0.10436010313683</v>
      </c>
    </row>
    <row r="43" spans="1:8" x14ac:dyDescent="0.5">
      <c r="A43" t="s">
        <v>99</v>
      </c>
      <c r="B43" t="s">
        <v>57</v>
      </c>
      <c r="C43">
        <v>-0.10133828209434</v>
      </c>
      <c r="D43">
        <v>0.429365344264518</v>
      </c>
      <c r="E43">
        <v>-0.35604583387043298</v>
      </c>
      <c r="F43">
        <v>0.15336926968175199</v>
      </c>
      <c r="G43">
        <v>1.51339002037712E-2</v>
      </c>
      <c r="H43">
        <v>0.906287238695339</v>
      </c>
    </row>
    <row r="44" spans="1:8" x14ac:dyDescent="0.5">
      <c r="A44" t="s">
        <v>99</v>
      </c>
      <c r="B44" t="s">
        <v>56</v>
      </c>
      <c r="C44">
        <v>0.187206165242745</v>
      </c>
      <c r="D44">
        <v>0.141786336159615</v>
      </c>
      <c r="E44">
        <v>-6.42930330438619E-2</v>
      </c>
      <c r="F44">
        <v>0.43870536352935202</v>
      </c>
      <c r="G44">
        <v>0.22606267888426801</v>
      </c>
      <c r="H44">
        <v>7.4826468997295004E-2</v>
      </c>
    </row>
    <row r="45" spans="1:8" x14ac:dyDescent="0.5">
      <c r="A45" t="s">
        <v>99</v>
      </c>
      <c r="B45" t="s">
        <v>55</v>
      </c>
      <c r="C45">
        <v>0.19441650980570099</v>
      </c>
      <c r="D45">
        <v>0.12998229484830101</v>
      </c>
      <c r="E45">
        <v>-5.8893419866076303E-2</v>
      </c>
      <c r="F45">
        <v>0.44772643947747798</v>
      </c>
      <c r="G45">
        <v>0.238182323353752</v>
      </c>
      <c r="H45">
        <v>6.2292250305477602E-2</v>
      </c>
    </row>
    <row r="46" spans="1:8" x14ac:dyDescent="0.5">
      <c r="A46" t="s">
        <v>75</v>
      </c>
      <c r="B46" t="s">
        <v>98</v>
      </c>
      <c r="C46">
        <v>-0.17692690860200899</v>
      </c>
      <c r="D46">
        <v>0.16539194371545901</v>
      </c>
      <c r="E46">
        <v>-0.42891341244161302</v>
      </c>
      <c r="F46">
        <v>7.5059595237595006E-2</v>
      </c>
      <c r="G46">
        <v>-0.113755041826725</v>
      </c>
      <c r="H46">
        <v>0.37469765454927001</v>
      </c>
    </row>
    <row r="47" spans="1:8" x14ac:dyDescent="0.5">
      <c r="A47" t="s">
        <v>75</v>
      </c>
      <c r="B47" t="s">
        <v>57</v>
      </c>
      <c r="C47">
        <v>-1.5840745153639799E-2</v>
      </c>
      <c r="D47">
        <v>0.90193136324829903</v>
      </c>
      <c r="E47">
        <v>-0.27183418585529101</v>
      </c>
      <c r="F47">
        <v>0.240152695548011</v>
      </c>
      <c r="G47">
        <v>-9.7217565958956503E-2</v>
      </c>
      <c r="H47">
        <v>0.44845904844559398</v>
      </c>
    </row>
    <row r="48" spans="1:8" x14ac:dyDescent="0.5">
      <c r="A48" t="s">
        <v>75</v>
      </c>
      <c r="B48" t="s">
        <v>56</v>
      </c>
      <c r="C48">
        <v>-0.22704446295976199</v>
      </c>
      <c r="D48">
        <v>7.3538848669383997E-2</v>
      </c>
      <c r="E48">
        <v>-0.47638376490849099</v>
      </c>
      <c r="F48">
        <v>2.22948389889665E-2</v>
      </c>
      <c r="G48">
        <v>-0.134817735459485</v>
      </c>
      <c r="H48">
        <v>0.292124275592063</v>
      </c>
    </row>
    <row r="49" spans="1:8" x14ac:dyDescent="0.5">
      <c r="A49" t="s">
        <v>75</v>
      </c>
      <c r="B49" t="s">
        <v>55</v>
      </c>
      <c r="C49">
        <v>-7.5642054350012297E-2</v>
      </c>
      <c r="D49">
        <v>0.55900295827401902</v>
      </c>
      <c r="E49">
        <v>-0.33313955202345802</v>
      </c>
      <c r="F49">
        <v>0.18185544332343301</v>
      </c>
      <c r="G49">
        <v>-1.8297174579646899E-2</v>
      </c>
      <c r="H49">
        <v>0.88774998048555598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8cbebb-2139-4df8-b411-4e3e87abeb5c}" enabled="0" method="" siteId="{dd8cbebb-2139-4df8-b411-4e3e87abeb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table1</vt:lpstr>
      <vt:lpstr>table1_v2</vt:lpstr>
      <vt:lpstr>table2</vt:lpstr>
      <vt:lpstr>Sheet1</vt:lpstr>
      <vt:lpstr>tableS1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Castiello de Obeso, Santiago</cp:lastModifiedBy>
  <dcterms:created xsi:type="dcterms:W3CDTF">2025-08-11T14:48:38Z</dcterms:created>
  <dcterms:modified xsi:type="dcterms:W3CDTF">2025-11-04T19:33:11Z</dcterms:modified>
</cp:coreProperties>
</file>